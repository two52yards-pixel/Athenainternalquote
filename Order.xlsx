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ghya\Desktop\Athena Marine\Athena\internal-quote-system\"/>
    </mc:Choice>
  </mc:AlternateContent>
  <xr:revisionPtr revIDLastSave="0" documentId="13_ncr:1_{86F83FDB-D60C-4E12-ABA9-E7825BDFDC5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ro Forma Invoice" sheetId="1" r:id="rId1"/>
  </sheets>
  <definedNames>
    <definedName name="_xlnm.Print_Area" localSheetId="0">'Pro Forma Invoice'!$A$1:$H$59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1" i="1" l="1"/>
  <c r="H45" i="1"/>
  <c r="C15" i="1"/>
  <c r="G23" i="1"/>
  <c r="G24" i="1"/>
  <c r="G25" i="1"/>
  <c r="G26" i="1"/>
  <c r="G27" i="1"/>
  <c r="G28" i="1"/>
  <c r="G29" i="1"/>
  <c r="G30" i="1"/>
  <c r="C14" i="1"/>
  <c r="C13" i="1"/>
  <c r="G34" i="1"/>
  <c r="G33" i="1"/>
  <c r="G32" i="1"/>
  <c r="G31" i="1"/>
  <c r="G22" i="1"/>
  <c r="H37" i="1" l="1"/>
  <c r="H40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<sst xmlns="http://schemas.openxmlformats.org/spreadsheetml/2006/main" count="44" uniqueCount="44">
  <si>
    <t>Athena Marine Supplies Ltd</t>
  </si>
  <si>
    <t>Marine Provisions and Technical Consumables</t>
  </si>
  <si>
    <t>INVOICE DETAILS</t>
  </si>
  <si>
    <t>CUSTOMER INFORMATION</t>
  </si>
  <si>
    <t>Customer Name</t>
  </si>
  <si>
    <t>Date</t>
  </si>
  <si>
    <t>Valid Until</t>
  </si>
  <si>
    <t>Email</t>
  </si>
  <si>
    <t>Item No.</t>
  </si>
  <si>
    <t>Quantity</t>
  </si>
  <si>
    <t>Unit Price</t>
  </si>
  <si>
    <t>Total</t>
  </si>
  <si>
    <t>Subtotal</t>
  </si>
  <si>
    <t>Shipping</t>
  </si>
  <si>
    <t>Grand Total</t>
  </si>
  <si>
    <t>PAYMENT TERMS</t>
  </si>
  <si>
    <t>DELIVERY TERMS</t>
  </si>
  <si>
    <t>Accepted methods: bank transfer (TT) in GBP.</t>
  </si>
  <si>
    <t>Goods dispatch is scheduled upon payment confirmation.</t>
  </si>
  <si>
    <t>Any berth change must be notified at least 6 hours before delivery.</t>
  </si>
  <si>
    <t>NOTES</t>
  </si>
  <si>
    <t>Prices are based on current market availability and may require reconfirmation after validity date. Any special handling, customs, or overtime port fees are not included unless stated.</t>
  </si>
  <si>
    <t>Authorized Signature (Supplier): __________________________</t>
  </si>
  <si>
    <t>Acknowledged By (Customer): __________________________</t>
  </si>
  <si>
    <t>Callout (SAT - SUN)</t>
  </si>
  <si>
    <t>Unit</t>
  </si>
  <si>
    <t>Address: 2, Normount Avenue, Newcastle upon Tyne NE4 8AR, United Kingdom</t>
  </si>
  <si>
    <t>Phone: +44 (0) 747641661</t>
  </si>
  <si>
    <t>Email: info@athenamarine.co.uk</t>
  </si>
  <si>
    <t>Web: www.athenamarine.co.uk</t>
  </si>
  <si>
    <t>Payment is due on or before the specified due date.</t>
  </si>
  <si>
    <t xml:space="preserve">Estimated delivery window: </t>
  </si>
  <si>
    <t xml:space="preserve">Incoterms: DAP (Delivered at Place) - Port of </t>
  </si>
  <si>
    <t>MARINE SUPPLY AND PROVISION QUOTE</t>
  </si>
  <si>
    <t>Vessel Name</t>
  </si>
  <si>
    <t>IMO Number</t>
  </si>
  <si>
    <t>Scheduled Arrival</t>
  </si>
  <si>
    <t>Port</t>
  </si>
  <si>
    <t>Agent Details</t>
  </si>
  <si>
    <t xml:space="preserve">Quote Ref: </t>
  </si>
  <si>
    <t>Quote Number</t>
  </si>
  <si>
    <t>Prepared by Athena Marine Supplies Ltd Accounts Department | Athena Quote Desk Template v1.0</t>
  </si>
  <si>
    <t xml:space="preserve">Product </t>
  </si>
  <si>
    <t xml:space="preserve">Supplied Product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</si>
</sst>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GBP&quot;\ #,##0.00"/>
  </numFmts>
  <fonts count="14" x14ac:knownFonts="1">
    <font>
      <sz val="11"/>
      <color theme="1"/>
      <name val="Calibri"/>
      <family val="2"/>
      <scheme val="minor"/>
    </font>
    <font>
      <b/>
      <sz val="12"/>
      <color rgb="FF6F7F91"/>
      <name val="Calibri"/>
      <family val="2"/>
    </font>
    <font>
      <b/>
      <sz val="18"/>
      <color rgb="FF0E2D4B"/>
      <name val="Calibri"/>
      <family val="2"/>
    </font>
    <font>
      <sz val="9"/>
      <color rgb="FF6F7F91"/>
      <name val="Calibri"/>
      <family val="2"/>
    </font>
    <font>
      <sz val="10"/>
      <name val="Calibri"/>
      <family val="2"/>
    </font>
    <font>
      <b/>
      <sz val="22"/>
      <color rgb="FF0E2D4B"/>
      <name val="Calibri"/>
      <family val="2"/>
    </font>
    <font>
      <b/>
      <sz val="10"/>
      <color rgb="FF3E4F63"/>
      <name val="Calibri"/>
      <family val="2"/>
    </font>
    <font>
      <b/>
      <sz val="11"/>
      <color rgb="FFFFFFFF"/>
      <name val="Calibri"/>
      <family val="2"/>
    </font>
    <font>
      <b/>
      <sz val="10"/>
      <color rgb="FF1F2D3D"/>
      <name val="Calibri"/>
      <family val="2"/>
    </font>
    <font>
      <b/>
      <sz val="10"/>
      <color rgb="FFFFFFFF"/>
      <name val="Calibri"/>
      <family val="2"/>
    </font>
    <font>
      <sz val="10"/>
      <name val="Calibri"/>
      <family val="2"/>
    </font>
    <font>
      <b/>
      <sz val="10"/>
      <color rgb="FF3E4F63"/>
      <name val="Calibri"/>
      <family val="2"/>
    </font>
    <font>
      <sz val="9"/>
      <color rgb="FF6F7F9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23A63"/>
      </patternFill>
    </fill>
    <fill>
      <patternFill patternType="solid">
        <fgColor rgb="FFF4F7FB"/>
      </patternFill>
    </fill>
  </fills>
  <borders count="11">
    <border>
      <left/>
      <right/>
      <top/>
      <bottom/>
      <diagonal/>
    </border>
    <border>
      <left style="thin">
        <color rgb="FFD4DDE8"/>
      </left>
      <right style="thin">
        <color rgb="FFD4DDE8"/>
      </right>
      <top style="thin">
        <color rgb="FFD4DDE8"/>
      </top>
      <bottom style="thin">
        <color rgb="FFD4DDE8"/>
      </bottom>
      <diagonal/>
    </border>
    <border>
      <left/>
      <right/>
      <top style="thin">
        <color rgb="FFD4DDE8"/>
      </top>
      <bottom/>
      <diagonal/>
    </border>
    <border>
      <left/>
      <right/>
      <top/>
      <bottom style="thin">
        <color rgb="FFD4DDE8"/>
      </bottom>
      <diagonal/>
    </border>
    <border>
      <left style="thin">
        <color rgb="FFD4DDE8"/>
      </left>
      <right/>
      <top style="thin">
        <color rgb="FFD4DDE8"/>
      </top>
      <bottom/>
      <diagonal/>
    </border>
    <border>
      <left/>
      <right style="thin">
        <color rgb="FFD4DDE8"/>
      </right>
      <top style="thin">
        <color rgb="FFD4DDE8"/>
      </top>
      <bottom/>
      <diagonal/>
    </border>
    <border>
      <left style="thin">
        <color rgb="FFD4DDE8"/>
      </left>
      <right/>
      <top/>
      <bottom style="thin">
        <color rgb="FFD4DDE8"/>
      </bottom>
      <diagonal/>
    </border>
    <border>
      <left/>
      <right style="thin">
        <color rgb="FFD4DDE8"/>
      </right>
      <top/>
      <bottom style="thin">
        <color rgb="FFD4DDE8"/>
      </bottom>
      <diagonal/>
    </border>
    <border>
      <left style="thin">
        <color rgb="FFD4DDE8"/>
      </left>
      <right/>
      <top style="thin">
        <color rgb="FFD4DDE8"/>
      </top>
      <bottom style="thin">
        <color rgb="FFD4DDE8"/>
      </bottom>
      <diagonal/>
    </border>
    <border>
      <left/>
      <right/>
      <top style="thin">
        <color rgb="FFD4DDE8"/>
      </top>
      <bottom style="thin">
        <color rgb="FFD4DDE8"/>
      </bottom>
      <diagonal/>
    </border>
    <border>
      <left/>
      <right style="thin">
        <color rgb="FFD4DDE8"/>
      </right>
      <top style="thin">
        <color rgb="FFD4DDE8"/>
      </top>
      <bottom style="thin">
        <color rgb="FFD4DDE8"/>
      </bottom>
      <diagonal/>
    </border>
  </borders>
  <cellStyleXfs count="1">
    <xf numFmtId="0" fontId="0" fillId="0" borderId="0"/>
  </cellStyleXfs>
  <cellXfs count="61">
    <xf numFmtId="0" fontId="0" fillId="0" borderId="0" xfId="0"/>
    <xf numFmtId="164" fontId="8" fillId="3" borderId="1" xfId="0" applyNumberFormat="1" applyFont="1" applyFill="1" applyBorder="1" applyAlignment="1">
      <alignment horizontal="right"/>
    </xf>
    <xf numFmtId="164" fontId="9" fillId="2" borderId="1" xfId="0" applyNumberFormat="1" applyFont="1" applyFill="1" applyBorder="1" applyAlignment="1">
      <alignment horizontal="right"/>
    </xf>
    <xf numFmtId="0" fontId="6" fillId="0" borderId="0" xfId="0" applyFont="1" applyAlignment="1">
      <alignment vertical="center" wrapText="1"/>
    </xf>
    <xf numFmtId="0" fontId="7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49" fontId="0" fillId="0" borderId="1" xfId="0" applyNumberFormat="1" applyBorder="1"/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1" fillId="3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vertical="center"/>
    </xf>
    <xf numFmtId="14" fontId="4" fillId="0" borderId="1" xfId="0" applyNumberFormat="1" applyFont="1" applyBorder="1" applyAlignment="1">
      <alignment horizontal="left" vertical="center"/>
    </xf>
    <xf numFmtId="0" fontId="6" fillId="3" borderId="4" xfId="0" applyFont="1" applyFill="1" applyBorder="1" applyAlignment="1">
      <alignment horizontal="left" vertical="center"/>
    </xf>
    <xf numFmtId="0" fontId="6" fillId="3" borderId="5" xfId="0" applyFont="1" applyFill="1" applyBorder="1" applyAlignment="1">
      <alignment horizontal="left" vertical="center"/>
    </xf>
    <xf numFmtId="0" fontId="6" fillId="3" borderId="6" xfId="0" applyFont="1" applyFill="1" applyBorder="1" applyAlignment="1">
      <alignment horizontal="left" vertical="center"/>
    </xf>
    <xf numFmtId="0" fontId="6" fillId="3" borderId="7" xfId="0" applyFont="1" applyFill="1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  <xf numFmtId="0" fontId="0" fillId="2" borderId="0" xfId="0" applyFill="1"/>
    <xf numFmtId="0" fontId="0" fillId="0" borderId="0" xfId="0"/>
    <xf numFmtId="0" fontId="4" fillId="0" borderId="1" xfId="0" applyFont="1" applyBorder="1" applyAlignment="1">
      <alignment horizontal="left" vertical="center"/>
    </xf>
    <xf numFmtId="0" fontId="0" fillId="0" borderId="0" xfId="0" applyAlignment="1">
      <alignment vertical="center"/>
    </xf>
    <xf numFmtId="0" fontId="11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7" fillId="2" borderId="1" xfId="0" applyFont="1" applyFill="1" applyBorder="1" applyAlignment="1">
      <alignment horizontal="left" vertical="center"/>
    </xf>
    <xf numFmtId="0" fontId="5" fillId="0" borderId="0" xfId="0" applyFont="1" applyAlignment="1">
      <alignment vertical="center"/>
    </xf>
    <xf numFmtId="0" fontId="12" fillId="0" borderId="0" xfId="0" applyFont="1" applyAlignment="1">
      <alignment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/>
    <xf numFmtId="0" fontId="4" fillId="0" borderId="1" xfId="0" applyFont="1" applyBorder="1" applyAlignment="1">
      <alignment vertical="center" wrapText="1"/>
    </xf>
    <xf numFmtId="0" fontId="6" fillId="3" borderId="1" xfId="0" applyFont="1" applyFill="1" applyBorder="1" applyAlignment="1">
      <alignment horizontal="right"/>
    </xf>
    <xf numFmtId="0" fontId="4" fillId="0" borderId="1" xfId="0" applyFont="1" applyBorder="1" applyAlignment="1">
      <alignment horizontal="left" vertical="center" wrapText="1"/>
    </xf>
    <xf numFmtId="0" fontId="11" fillId="3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left" vertical="center" wrapText="1"/>
    </xf>
    <xf numFmtId="0" fontId="9" fillId="2" borderId="1" xfId="0" applyFont="1" applyFill="1" applyBorder="1" applyAlignment="1">
      <alignment horizontal="right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164" fontId="4" fillId="0" borderId="1" xfId="0" applyNumberFormat="1" applyFont="1" applyBorder="1" applyAlignment="1"/>
    <xf numFmtId="0" fontId="4" fillId="0" borderId="1" xfId="0" applyFont="1" applyBorder="1" applyAlignment="1"/>
    <xf numFmtId="0" fontId="7" fillId="2" borderId="1" xfId="0" applyFont="1" applyFill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8"/>
  <sheetViews>
    <sheetView tabSelected="1" topLeftCell="A18" zoomScale="97" zoomScaleNormal="59" workbookViewId="0">
      <selection activeCell="H37" sqref="H37"/>
    </sheetView>
  </sheetViews>
  <sheetFormatPr defaultRowHeight="14.4" x14ac:dyDescent="0.3"/>
  <cols>
    <col min="1" max="1" width="13.109375" customWidth="1"/>
    <col min="2" max="3" width="45.77734375" customWidth="1"/>
    <col min="4" max="4" width="12" customWidth="1"/>
    <col min="5" max="6" width="14" customWidth="1"/>
    <col min="7" max="7" width="24.77734375" customWidth="1"/>
    <col min="8" max="8" width="22.88671875" customWidth="1"/>
  </cols>
  <sheetData>
    <row r="1" spans="1:8" ht="19.95" customHeight="1" x14ac:dyDescent="0.3">
      <c r="A1" s="22"/>
      <c r="B1" s="23"/>
      <c r="C1" s="23"/>
      <c r="D1" s="23"/>
      <c r="E1" s="23"/>
      <c r="F1" s="23"/>
      <c r="G1" s="23"/>
      <c r="H1" s="23"/>
    </row>
    <row r="2" spans="1:8" ht="19.95" customHeight="1" x14ac:dyDescent="0.3">
      <c r="A2" s="39"/>
      <c r="B2" s="39"/>
      <c r="C2" s="39"/>
      <c r="D2" s="39"/>
      <c r="E2" s="39"/>
      <c r="F2" s="39"/>
      <c r="G2" s="39"/>
      <c r="H2" s="39"/>
    </row>
    <row r="3" spans="1:8" ht="19.95" customHeight="1" x14ac:dyDescent="0.3">
      <c r="A3" s="31" t="e" vm="1">
        <v>#VALUE!</v>
      </c>
      <c r="B3" s="27"/>
      <c r="C3" s="56" t="s">
        <v>0</v>
      </c>
      <c r="D3" s="57"/>
      <c r="E3" s="57"/>
      <c r="F3" s="57"/>
      <c r="G3" s="57"/>
      <c r="H3" s="57"/>
    </row>
    <row r="4" spans="1:8" ht="19.95" customHeight="1" x14ac:dyDescent="0.3">
      <c r="A4" s="27"/>
      <c r="B4" s="27"/>
      <c r="C4" s="58" t="s">
        <v>1</v>
      </c>
      <c r="D4" s="57"/>
      <c r="E4" s="57"/>
      <c r="F4" s="57"/>
      <c r="G4" s="57"/>
      <c r="H4" s="57"/>
    </row>
    <row r="5" spans="1:8" ht="19.95" customHeight="1" x14ac:dyDescent="0.3">
      <c r="A5" s="27"/>
      <c r="B5" s="27"/>
      <c r="C5" s="59" t="s">
        <v>26</v>
      </c>
      <c r="D5" s="57"/>
      <c r="E5" s="57"/>
      <c r="F5" s="57"/>
      <c r="G5" s="57"/>
      <c r="H5" s="57"/>
    </row>
    <row r="6" spans="1:8" ht="19.95" customHeight="1" x14ac:dyDescent="0.3">
      <c r="A6" s="27"/>
      <c r="B6" s="27"/>
      <c r="C6" s="60" t="s">
        <v>27</v>
      </c>
      <c r="D6" s="57"/>
      <c r="E6" s="57"/>
      <c r="F6" s="60"/>
      <c r="G6" s="57"/>
      <c r="H6" s="57"/>
    </row>
    <row r="7" spans="1:8" ht="19.95" customHeight="1" x14ac:dyDescent="0.3">
      <c r="A7" s="27"/>
      <c r="B7" s="27"/>
      <c r="C7" s="59" t="s">
        <v>28</v>
      </c>
      <c r="D7" s="57"/>
      <c r="E7" s="57"/>
      <c r="F7" s="60" t="s">
        <v>29</v>
      </c>
      <c r="G7" s="57"/>
      <c r="H7" s="57"/>
    </row>
    <row r="8" spans="1:8" ht="19.95" customHeight="1" x14ac:dyDescent="0.3">
      <c r="A8" s="39"/>
      <c r="B8" s="39"/>
      <c r="C8" s="39"/>
      <c r="D8" s="39"/>
      <c r="E8" s="39"/>
      <c r="F8" s="39"/>
      <c r="G8" s="39"/>
      <c r="H8" s="39"/>
    </row>
    <row r="9" spans="1:8" ht="19.95" customHeight="1" x14ac:dyDescent="0.3">
      <c r="A9" s="29" t="s">
        <v>33</v>
      </c>
      <c r="B9" s="25"/>
      <c r="C9" s="25"/>
      <c r="D9" s="25"/>
      <c r="E9" s="25"/>
      <c r="F9" s="25"/>
      <c r="G9" s="26" t="s">
        <v>39</v>
      </c>
      <c r="H9" s="27"/>
    </row>
    <row r="10" spans="1:8" ht="19.95" customHeight="1" x14ac:dyDescent="0.3">
      <c r="A10" s="25"/>
      <c r="B10" s="25"/>
      <c r="C10" s="25"/>
      <c r="D10" s="25"/>
      <c r="E10" s="25"/>
      <c r="F10" s="25"/>
      <c r="G10" s="27"/>
      <c r="H10" s="27"/>
    </row>
    <row r="11" spans="1:8" ht="19.95" customHeight="1" x14ac:dyDescent="0.3">
      <c r="A11" s="5"/>
      <c r="B11" s="5"/>
      <c r="C11" s="5"/>
      <c r="D11" s="5"/>
      <c r="E11" s="5"/>
      <c r="F11" s="5"/>
      <c r="G11" s="5"/>
      <c r="H11" s="5"/>
    </row>
    <row r="12" spans="1:8" ht="19.95" customHeight="1" x14ac:dyDescent="0.3">
      <c r="A12" s="28" t="s">
        <v>2</v>
      </c>
      <c r="B12" s="13"/>
      <c r="C12" s="13"/>
      <c r="D12" s="13"/>
      <c r="E12" s="28" t="s">
        <v>3</v>
      </c>
      <c r="F12" s="13"/>
      <c r="G12" s="13"/>
      <c r="H12" s="13"/>
    </row>
    <row r="13" spans="1:8" ht="31.2" customHeight="1" x14ac:dyDescent="0.3">
      <c r="A13" s="12" t="s">
        <v>40</v>
      </c>
      <c r="B13" s="13"/>
      <c r="C13" s="40" t="str">
        <f>G9</f>
        <v xml:space="preserve">Quote Ref: </v>
      </c>
      <c r="D13" s="13"/>
      <c r="E13" s="10" t="s">
        <v>4</v>
      </c>
      <c r="F13" s="11"/>
      <c r="G13" s="24"/>
      <c r="H13" s="11"/>
    </row>
    <row r="14" spans="1:8" ht="33" customHeight="1" x14ac:dyDescent="0.3">
      <c r="A14" s="15" t="s">
        <v>5</v>
      </c>
      <c r="B14" s="13"/>
      <c r="C14" s="16">
        <f ca="1">TODAY()</f>
        <v>46181</v>
      </c>
      <c r="D14" s="11"/>
      <c r="E14" s="10" t="s">
        <v>34</v>
      </c>
      <c r="F14" s="11"/>
      <c r="G14" s="35"/>
      <c r="H14" s="11"/>
    </row>
    <row r="15" spans="1:8" ht="27.6" customHeight="1" x14ac:dyDescent="0.3">
      <c r="A15" s="15" t="s">
        <v>6</v>
      </c>
      <c r="B15" s="13"/>
      <c r="C15" s="16">
        <f ca="1">TODAY()+30</f>
        <v>46211</v>
      </c>
      <c r="D15" s="11"/>
      <c r="E15" s="10" t="s">
        <v>35</v>
      </c>
      <c r="F15" s="11"/>
      <c r="G15" s="24"/>
      <c r="H15" s="11"/>
    </row>
    <row r="16" spans="1:8" ht="27" customHeight="1" x14ac:dyDescent="0.3">
      <c r="A16" s="5"/>
      <c r="B16" s="5"/>
      <c r="C16" s="5"/>
      <c r="D16" s="5"/>
      <c r="E16" s="10" t="s">
        <v>36</v>
      </c>
      <c r="F16" s="11"/>
      <c r="G16" s="16"/>
      <c r="H16" s="21"/>
    </row>
    <row r="17" spans="1:8" ht="28.8" customHeight="1" x14ac:dyDescent="0.3">
      <c r="A17" s="5"/>
      <c r="B17" s="5"/>
      <c r="C17" s="5"/>
      <c r="D17" s="5"/>
      <c r="E17" s="10" t="s">
        <v>7</v>
      </c>
      <c r="F17" s="11"/>
      <c r="G17" s="24"/>
      <c r="H17" s="11"/>
    </row>
    <row r="18" spans="1:8" ht="31.8" customHeight="1" x14ac:dyDescent="0.3">
      <c r="A18" s="5"/>
      <c r="B18" s="5"/>
      <c r="C18" s="5"/>
      <c r="D18" s="5"/>
      <c r="E18" s="36" t="s">
        <v>37</v>
      </c>
      <c r="F18" s="11"/>
      <c r="G18" s="37"/>
      <c r="H18" s="11"/>
    </row>
    <row r="19" spans="1:8" ht="19.95" customHeight="1" x14ac:dyDescent="0.3">
      <c r="A19" s="5"/>
      <c r="B19" s="5"/>
      <c r="C19" s="5"/>
      <c r="D19" s="5"/>
      <c r="E19" s="17" t="s">
        <v>38</v>
      </c>
      <c r="F19" s="18"/>
      <c r="G19" s="49"/>
      <c r="H19" s="50"/>
    </row>
    <row r="20" spans="1:8" ht="19.95" customHeight="1" x14ac:dyDescent="0.3">
      <c r="E20" s="19"/>
      <c r="F20" s="20"/>
      <c r="G20" s="51"/>
      <c r="H20" s="52"/>
    </row>
    <row r="21" spans="1:8" ht="19.95" customHeight="1" x14ac:dyDescent="0.3">
      <c r="A21" s="14" t="s">
        <v>8</v>
      </c>
      <c r="B21" s="9" t="s">
        <v>42</v>
      </c>
      <c r="C21" s="9" t="s">
        <v>43</v>
      </c>
      <c r="D21" s="4" t="s">
        <v>9</v>
      </c>
      <c r="E21" s="4" t="s">
        <v>25</v>
      </c>
      <c r="F21" s="14" t="s">
        <v>10</v>
      </c>
      <c r="G21" s="55" t="s">
        <v>11</v>
      </c>
      <c r="H21" s="55"/>
    </row>
    <row r="22" spans="1:8" ht="19.95" customHeight="1" x14ac:dyDescent="0.3">
      <c r="A22" s="6">
        <v>1</v>
      </c>
      <c r="B22" s="7"/>
      <c r="C22" s="6"/>
      <c r="D22" s="6"/>
      <c r="E22" s="6"/>
      <c r="F22" s="48"/>
      <c r="G22" s="53">
        <f>D22*F22</f>
        <v>0</v>
      </c>
      <c r="H22" s="54"/>
    </row>
    <row r="23" spans="1:8" ht="19.95" customHeight="1" x14ac:dyDescent="0.3">
      <c r="A23" s="6">
        <v>2</v>
      </c>
      <c r="B23" s="7"/>
      <c r="C23" s="6"/>
      <c r="D23" s="6"/>
      <c r="E23" s="6"/>
      <c r="F23" s="48"/>
      <c r="G23" s="53">
        <f t="shared" ref="G23:G30" si="0">D23*F23</f>
        <v>0</v>
      </c>
      <c r="H23" s="54"/>
    </row>
    <row r="24" spans="1:8" ht="19.95" customHeight="1" x14ac:dyDescent="0.3">
      <c r="A24" s="6">
        <v>3</v>
      </c>
      <c r="B24" s="7"/>
      <c r="C24" s="6"/>
      <c r="D24" s="6"/>
      <c r="E24" s="6"/>
      <c r="F24" s="48"/>
      <c r="G24" s="53">
        <f t="shared" si="0"/>
        <v>0</v>
      </c>
      <c r="H24" s="54"/>
    </row>
    <row r="25" spans="1:8" ht="19.95" customHeight="1" x14ac:dyDescent="0.3">
      <c r="A25" s="6">
        <v>4</v>
      </c>
      <c r="B25" s="7"/>
      <c r="C25" s="6"/>
      <c r="D25" s="6"/>
      <c r="E25" s="6"/>
      <c r="F25" s="48"/>
      <c r="G25" s="53">
        <f t="shared" si="0"/>
        <v>0</v>
      </c>
      <c r="H25" s="54"/>
    </row>
    <row r="26" spans="1:8" ht="19.95" customHeight="1" x14ac:dyDescent="0.3">
      <c r="A26" s="6">
        <v>5</v>
      </c>
      <c r="B26" s="7"/>
      <c r="C26" s="6"/>
      <c r="D26" s="6"/>
      <c r="E26" s="6"/>
      <c r="F26" s="48"/>
      <c r="G26" s="53">
        <f t="shared" si="0"/>
        <v>0</v>
      </c>
      <c r="H26" s="54"/>
    </row>
    <row r="27" spans="1:8" ht="19.95" customHeight="1" x14ac:dyDescent="0.3">
      <c r="A27" s="6">
        <v>6</v>
      </c>
      <c r="B27" s="7"/>
      <c r="C27" s="6"/>
      <c r="D27" s="6"/>
      <c r="E27" s="6"/>
      <c r="F27" s="48"/>
      <c r="G27" s="53">
        <f t="shared" si="0"/>
        <v>0</v>
      </c>
      <c r="H27" s="54"/>
    </row>
    <row r="28" spans="1:8" ht="19.95" customHeight="1" x14ac:dyDescent="0.3">
      <c r="A28" s="6">
        <v>7</v>
      </c>
      <c r="B28" s="7"/>
      <c r="C28" s="6"/>
      <c r="D28" s="6"/>
      <c r="E28" s="6"/>
      <c r="F28" s="48"/>
      <c r="G28" s="53">
        <f t="shared" si="0"/>
        <v>0</v>
      </c>
      <c r="H28" s="54"/>
    </row>
    <row r="29" spans="1:8" ht="19.95" customHeight="1" x14ac:dyDescent="0.3">
      <c r="A29" s="6">
        <v>8</v>
      </c>
      <c r="B29" s="7"/>
      <c r="C29" s="6"/>
      <c r="D29" s="6"/>
      <c r="E29" s="6"/>
      <c r="F29" s="48"/>
      <c r="G29" s="53">
        <f t="shared" si="0"/>
        <v>0</v>
      </c>
      <c r="H29" s="54"/>
    </row>
    <row r="30" spans="1:8" ht="19.95" customHeight="1" x14ac:dyDescent="0.3">
      <c r="A30" s="6">
        <v>9</v>
      </c>
      <c r="B30" s="7"/>
      <c r="C30" s="6"/>
      <c r="D30" s="6"/>
      <c r="E30" s="6"/>
      <c r="F30" s="48"/>
      <c r="G30" s="53">
        <f t="shared" si="0"/>
        <v>0</v>
      </c>
      <c r="H30" s="54"/>
    </row>
    <row r="31" spans="1:8" ht="19.95" customHeight="1" x14ac:dyDescent="0.3">
      <c r="A31" s="6">
        <v>10</v>
      </c>
      <c r="B31" s="6"/>
      <c r="C31" s="6"/>
      <c r="D31" s="6"/>
      <c r="E31" s="6"/>
      <c r="F31" s="48"/>
      <c r="G31" s="53">
        <f>D31*F31</f>
        <v>0</v>
      </c>
      <c r="H31" s="54"/>
    </row>
    <row r="32" spans="1:8" ht="19.95" customHeight="1" x14ac:dyDescent="0.3">
      <c r="A32" s="6">
        <v>11</v>
      </c>
      <c r="B32" s="7"/>
      <c r="C32" s="6"/>
      <c r="D32" s="6"/>
      <c r="E32" s="6"/>
      <c r="F32" s="48"/>
      <c r="G32" s="53">
        <f>D32*F32</f>
        <v>0</v>
      </c>
      <c r="H32" s="54"/>
    </row>
    <row r="33" spans="1:8" ht="19.95" customHeight="1" x14ac:dyDescent="0.3">
      <c r="A33" s="6">
        <v>12</v>
      </c>
      <c r="B33" s="7"/>
      <c r="C33" s="6"/>
      <c r="D33" s="6"/>
      <c r="E33" s="6"/>
      <c r="F33" s="48"/>
      <c r="G33" s="53">
        <f>D33*F33</f>
        <v>0</v>
      </c>
      <c r="H33" s="54"/>
    </row>
    <row r="34" spans="1:8" ht="19.95" customHeight="1" x14ac:dyDescent="0.3">
      <c r="A34" s="6">
        <v>13</v>
      </c>
      <c r="B34" s="7"/>
      <c r="C34" s="6"/>
      <c r="D34" s="6"/>
      <c r="E34" s="6"/>
      <c r="F34" s="48"/>
      <c r="G34" s="53">
        <f>D34*F34</f>
        <v>0</v>
      </c>
      <c r="H34" s="54"/>
    </row>
    <row r="35" spans="1:8" ht="19.95" customHeight="1" x14ac:dyDescent="0.3"/>
    <row r="36" spans="1:8" ht="19.95" customHeight="1" x14ac:dyDescent="0.3"/>
    <row r="37" spans="1:8" ht="19.95" customHeight="1" x14ac:dyDescent="0.3">
      <c r="F37" s="34" t="s">
        <v>12</v>
      </c>
      <c r="G37" s="32"/>
      <c r="H37" s="1">
        <f>SUM(G22:G34)</f>
        <v>0</v>
      </c>
    </row>
    <row r="38" spans="1:8" ht="19.95" customHeight="1" x14ac:dyDescent="0.3">
      <c r="F38" s="34" t="s">
        <v>24</v>
      </c>
      <c r="G38" s="32"/>
      <c r="H38" s="1">
        <v>0</v>
      </c>
    </row>
    <row r="39" spans="1:8" ht="19.95" customHeight="1" x14ac:dyDescent="0.3">
      <c r="F39" s="34" t="s">
        <v>13</v>
      </c>
      <c r="G39" s="32"/>
      <c r="H39" s="1">
        <v>0</v>
      </c>
    </row>
    <row r="40" spans="1:8" ht="19.95" customHeight="1" x14ac:dyDescent="0.3">
      <c r="F40" s="34"/>
      <c r="G40" s="32"/>
      <c r="H40" s="1">
        <f>0.2*(H37+H39)</f>
        <v>0</v>
      </c>
    </row>
    <row r="41" spans="1:8" ht="19.95" customHeight="1" x14ac:dyDescent="0.3">
      <c r="F41" s="38" t="s">
        <v>14</v>
      </c>
      <c r="G41" s="32"/>
      <c r="H41" s="2">
        <f>H37+H39+H40+H38</f>
        <v>0</v>
      </c>
    </row>
    <row r="42" spans="1:8" ht="19.95" customHeight="1" x14ac:dyDescent="0.3">
      <c r="A42" s="41"/>
      <c r="B42" s="41"/>
      <c r="C42" s="41"/>
      <c r="D42" s="41"/>
      <c r="E42" s="41"/>
      <c r="F42" s="41"/>
      <c r="G42" s="41"/>
      <c r="H42" s="41"/>
    </row>
    <row r="43" spans="1:8" ht="19.95" customHeight="1" x14ac:dyDescent="0.3">
      <c r="A43" s="43"/>
      <c r="B43" s="43"/>
      <c r="C43" s="43"/>
      <c r="D43" s="43"/>
      <c r="E43" s="43"/>
      <c r="F43" s="43"/>
      <c r="G43" s="43"/>
      <c r="H43" s="43"/>
    </row>
    <row r="44" spans="1:8" ht="19.95" customHeight="1" x14ac:dyDescent="0.3">
      <c r="A44" s="28" t="s">
        <v>15</v>
      </c>
      <c r="B44" s="32"/>
      <c r="C44" s="32"/>
      <c r="D44" s="32"/>
      <c r="E44" s="28" t="s">
        <v>16</v>
      </c>
      <c r="F44" s="32"/>
      <c r="G44" s="32"/>
      <c r="H44" s="32"/>
    </row>
    <row r="45" spans="1:8" ht="19.95" customHeight="1" x14ac:dyDescent="0.3">
      <c r="A45" s="33" t="s">
        <v>30</v>
      </c>
      <c r="B45" s="32"/>
      <c r="C45" s="32"/>
      <c r="D45" s="32"/>
      <c r="E45" s="45" t="s">
        <v>32</v>
      </c>
      <c r="F45" s="46"/>
      <c r="G45" s="47"/>
      <c r="H45" s="8">
        <f>G18</f>
        <v>0</v>
      </c>
    </row>
    <row r="46" spans="1:8" ht="19.95" customHeight="1" x14ac:dyDescent="0.3">
      <c r="A46" s="33" t="s">
        <v>17</v>
      </c>
      <c r="B46" s="32"/>
      <c r="C46" s="32"/>
      <c r="D46" s="32"/>
      <c r="E46" s="33" t="s">
        <v>31</v>
      </c>
      <c r="F46" s="32"/>
      <c r="G46" s="32"/>
      <c r="H46" s="32"/>
    </row>
    <row r="47" spans="1:8" ht="19.95" customHeight="1" x14ac:dyDescent="0.3">
      <c r="A47" s="33" t="s">
        <v>18</v>
      </c>
      <c r="B47" s="32"/>
      <c r="C47" s="32"/>
      <c r="D47" s="32"/>
      <c r="E47" s="33" t="s">
        <v>19</v>
      </c>
      <c r="F47" s="32"/>
      <c r="G47" s="32"/>
      <c r="H47" s="32"/>
    </row>
    <row r="48" spans="1:8" ht="19.95" customHeight="1" x14ac:dyDescent="0.3">
      <c r="A48" s="42"/>
      <c r="B48" s="42"/>
      <c r="C48" s="42"/>
      <c r="D48" s="42"/>
      <c r="E48" s="42"/>
      <c r="F48" s="42"/>
      <c r="G48" s="42"/>
      <c r="H48" s="42"/>
    </row>
    <row r="49" spans="1:9" ht="19.95" customHeight="1" x14ac:dyDescent="0.3">
      <c r="A49" s="43"/>
      <c r="B49" s="43"/>
      <c r="C49" s="43"/>
      <c r="D49" s="43"/>
      <c r="E49" s="43"/>
      <c r="F49" s="43"/>
      <c r="G49" s="43"/>
      <c r="H49" s="43"/>
    </row>
    <row r="50" spans="1:9" ht="19.95" customHeight="1" x14ac:dyDescent="0.3">
      <c r="A50" s="28" t="s">
        <v>20</v>
      </c>
      <c r="B50" s="32"/>
      <c r="C50" s="32"/>
      <c r="D50" s="32"/>
      <c r="E50" s="32"/>
      <c r="F50" s="32"/>
      <c r="G50" s="32"/>
      <c r="H50" s="32"/>
    </row>
    <row r="51" spans="1:9" ht="19.95" customHeight="1" x14ac:dyDescent="0.3">
      <c r="A51" s="33" t="s">
        <v>21</v>
      </c>
      <c r="B51" s="32"/>
      <c r="C51" s="32"/>
      <c r="D51" s="32"/>
      <c r="E51" s="32"/>
      <c r="F51" s="32"/>
      <c r="G51" s="32"/>
      <c r="H51" s="32"/>
    </row>
    <row r="52" spans="1:9" ht="19.95" customHeight="1" x14ac:dyDescent="0.3">
      <c r="A52" s="32"/>
      <c r="B52" s="32"/>
      <c r="C52" s="32"/>
      <c r="D52" s="32"/>
      <c r="E52" s="32"/>
      <c r="F52" s="32"/>
      <c r="G52" s="32"/>
      <c r="H52" s="32"/>
    </row>
    <row r="53" spans="1:9" ht="19.95" customHeight="1" x14ac:dyDescent="0.3">
      <c r="A53" s="32"/>
      <c r="B53" s="32"/>
      <c r="C53" s="32"/>
      <c r="D53" s="32"/>
      <c r="E53" s="32"/>
      <c r="F53" s="32"/>
      <c r="G53" s="32"/>
      <c r="H53" s="32"/>
    </row>
    <row r="54" spans="1:9" ht="19.95" customHeight="1" x14ac:dyDescent="0.3">
      <c r="A54" s="42"/>
      <c r="B54" s="42"/>
      <c r="C54" s="42"/>
      <c r="D54" s="42"/>
      <c r="E54" s="42"/>
      <c r="F54" s="42"/>
      <c r="G54" s="42"/>
      <c r="H54" s="42"/>
    </row>
    <row r="55" spans="1:9" ht="19.95" customHeight="1" x14ac:dyDescent="0.3">
      <c r="A55" s="41"/>
      <c r="B55" s="41"/>
      <c r="C55" s="41"/>
      <c r="D55" s="41"/>
      <c r="E55" s="41"/>
      <c r="F55" s="41"/>
      <c r="G55" s="41"/>
      <c r="H55" s="41"/>
    </row>
    <row r="56" spans="1:9" ht="19.95" customHeight="1" x14ac:dyDescent="0.3">
      <c r="A56" s="44" t="s">
        <v>22</v>
      </c>
      <c r="B56" s="44"/>
      <c r="C56" s="44"/>
      <c r="D56" s="44"/>
      <c r="E56" s="44" t="s">
        <v>23</v>
      </c>
      <c r="F56" s="44"/>
      <c r="G56" s="44"/>
      <c r="H56" s="44"/>
      <c r="I56" s="3"/>
    </row>
    <row r="57" spans="1:9" ht="19.95" customHeight="1" x14ac:dyDescent="0.3">
      <c r="A57" s="44"/>
      <c r="B57" s="44"/>
      <c r="C57" s="44"/>
      <c r="D57" s="44"/>
      <c r="E57" s="44"/>
      <c r="F57" s="44"/>
      <c r="G57" s="44"/>
      <c r="H57" s="44"/>
      <c r="I57" s="3"/>
    </row>
    <row r="58" spans="1:9" ht="19.95" customHeight="1" x14ac:dyDescent="0.3">
      <c r="A58" s="41"/>
      <c r="B58" s="41"/>
      <c r="C58" s="41"/>
      <c r="D58" s="41"/>
      <c r="E58" s="41"/>
      <c r="F58" s="41"/>
      <c r="G58" s="41"/>
      <c r="H58" s="41"/>
    </row>
    <row r="59" spans="1:9" ht="19.95" customHeight="1" x14ac:dyDescent="0.3">
      <c r="A59" s="30" t="s">
        <v>41</v>
      </c>
      <c r="B59" s="23"/>
      <c r="C59" s="23"/>
      <c r="D59" s="23"/>
      <c r="E59" s="23"/>
      <c r="F59" s="23"/>
      <c r="G59" s="23"/>
      <c r="H59" s="23"/>
    </row>
    <row r="60" spans="1:9" ht="19.95" customHeight="1" x14ac:dyDescent="0.3"/>
    <row r="61" spans="1:9" ht="19.95" customHeight="1" x14ac:dyDescent="0.3"/>
    <row r="62" spans="1:9" ht="19.95" customHeight="1" x14ac:dyDescent="0.3"/>
    <row r="63" spans="1:9" ht="19.95" customHeight="1" x14ac:dyDescent="0.3"/>
    <row r="64" spans="1:9" ht="19.95" customHeight="1" x14ac:dyDescent="0.3"/>
    <row r="65" ht="19.95" customHeight="1" x14ac:dyDescent="0.3"/>
    <row r="66" ht="19.95" customHeight="1" x14ac:dyDescent="0.3"/>
    <row r="67" ht="19.95" customHeight="1" x14ac:dyDescent="0.3"/>
    <row r="68" ht="19.95" customHeight="1" x14ac:dyDescent="0.3"/>
    <row r="69" ht="19.95" customHeight="1" x14ac:dyDescent="0.3"/>
    <row r="70" ht="19.95" customHeight="1" x14ac:dyDescent="0.3"/>
    <row r="71" ht="19.95" customHeight="1" x14ac:dyDescent="0.3"/>
    <row r="72" ht="19.95" customHeight="1" x14ac:dyDescent="0.3"/>
    <row r="73" ht="19.95" customHeight="1" x14ac:dyDescent="0.3"/>
    <row r="74" ht="19.95" customHeight="1" x14ac:dyDescent="0.3"/>
    <row r="75" ht="19.95" customHeight="1" x14ac:dyDescent="0.3"/>
    <row r="76" ht="19.95" customHeight="1" x14ac:dyDescent="0.3"/>
    <row r="77" ht="19.95" customHeight="1" x14ac:dyDescent="0.3"/>
    <row r="78" ht="19.95" customHeight="1" x14ac:dyDescent="0.3"/>
    <row r="79" ht="19.95" customHeight="1" x14ac:dyDescent="0.3"/>
    <row r="80" ht="19.95" customHeight="1" x14ac:dyDescent="0.3"/>
    <row r="81" ht="19.95" customHeight="1" x14ac:dyDescent="0.3"/>
    <row r="82" ht="19.95" customHeight="1" x14ac:dyDescent="0.3"/>
    <row r="83" ht="19.95" customHeight="1" x14ac:dyDescent="0.3"/>
    <row r="84" ht="19.95" customHeight="1" x14ac:dyDescent="0.3"/>
    <row r="85" ht="19.95" customHeight="1" x14ac:dyDescent="0.3"/>
    <row r="86" ht="19.95" customHeight="1" x14ac:dyDescent="0.3"/>
    <row r="87" ht="19.95" customHeight="1" x14ac:dyDescent="0.3"/>
    <row r="88" ht="19.95" customHeight="1" x14ac:dyDescent="0.3"/>
    <row r="89" ht="19.95" customHeight="1" x14ac:dyDescent="0.3"/>
    <row r="90" ht="19.95" customHeight="1" x14ac:dyDescent="0.3"/>
    <row r="91" ht="19.95" customHeight="1" x14ac:dyDescent="0.3"/>
    <row r="92" ht="19.95" customHeight="1" x14ac:dyDescent="0.3"/>
    <row r="93" ht="19.95" customHeight="1" x14ac:dyDescent="0.3"/>
    <row r="94" ht="19.95" customHeight="1" x14ac:dyDescent="0.3"/>
    <row r="95" ht="19.95" customHeight="1" x14ac:dyDescent="0.3"/>
    <row r="96" ht="19.95" customHeight="1" x14ac:dyDescent="0.3"/>
    <row r="97" ht="19.95" customHeight="1" x14ac:dyDescent="0.3"/>
    <row r="98" ht="19.95" customHeight="1" x14ac:dyDescent="0.3"/>
  </sheetData>
  <mergeCells count="59">
    <mergeCell ref="A58:H58"/>
    <mergeCell ref="A48:H49"/>
    <mergeCell ref="A42:H43"/>
    <mergeCell ref="E56:H57"/>
    <mergeCell ref="A56:D57"/>
    <mergeCell ref="A54:H55"/>
    <mergeCell ref="A50:H50"/>
    <mergeCell ref="A45:D45"/>
    <mergeCell ref="A46:D46"/>
    <mergeCell ref="E46:H46"/>
    <mergeCell ref="A44:D44"/>
    <mergeCell ref="A47:D47"/>
    <mergeCell ref="E45:G45"/>
    <mergeCell ref="F41:G41"/>
    <mergeCell ref="F39:G39"/>
    <mergeCell ref="F37:G37"/>
    <mergeCell ref="A2:H2"/>
    <mergeCell ref="A8:H8"/>
    <mergeCell ref="C4:H4"/>
    <mergeCell ref="C13:D13"/>
    <mergeCell ref="F7:H7"/>
    <mergeCell ref="E13:F13"/>
    <mergeCell ref="G13:H13"/>
    <mergeCell ref="F38:G38"/>
    <mergeCell ref="A59:H59"/>
    <mergeCell ref="A3:B7"/>
    <mergeCell ref="E15:F15"/>
    <mergeCell ref="G15:H15"/>
    <mergeCell ref="E44:H44"/>
    <mergeCell ref="F21"/>
    <mergeCell ref="E47:H47"/>
    <mergeCell ref="F40:G40"/>
    <mergeCell ref="A14:B14"/>
    <mergeCell ref="G14:H14"/>
    <mergeCell ref="A51:H53"/>
    <mergeCell ref="C3:H3"/>
    <mergeCell ref="C6:E6"/>
    <mergeCell ref="E12:H12"/>
    <mergeCell ref="A1:H1"/>
    <mergeCell ref="E17:F17"/>
    <mergeCell ref="G17:H17"/>
    <mergeCell ref="C7:E7"/>
    <mergeCell ref="G9:H10"/>
    <mergeCell ref="F6:H6"/>
    <mergeCell ref="A12:D12"/>
    <mergeCell ref="C5:H5"/>
    <mergeCell ref="A21"/>
    <mergeCell ref="A9:F10"/>
    <mergeCell ref="C14:D14"/>
    <mergeCell ref="E18:F18"/>
    <mergeCell ref="G18:H18"/>
    <mergeCell ref="E14:F14"/>
    <mergeCell ref="A13:B13"/>
    <mergeCell ref="A15:B15"/>
    <mergeCell ref="C15:D15"/>
    <mergeCell ref="E19:F20"/>
    <mergeCell ref="G19:H20"/>
    <mergeCell ref="E16:F16"/>
    <mergeCell ref="G16:H16"/>
  </mergeCells>
  <pageMargins left="0.3" right="0.3" top="0.35" bottom="0.35" header="0.2" footer="0.2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Pro Forma Invoice</vt:lpstr>
      <vt:lpstr>'Pro Forma Invoice'!Print_Area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Aghyad Kutuf</cp:lastModifiedBy>
  <cp:lastPrinted>2026-06-01T15:31:35Z</cp:lastPrinted>
  <dcterms:created xsi:type="dcterms:W3CDTF">2026-06-01T15:10:58Z</dcterms:created>
  <dcterms:modified xsi:type="dcterms:W3CDTF">2026-06-08T20:19:19Z</dcterms:modified>
</cp:coreProperties>
</file>