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ghya\Desktop\Athena Marine\Athena\Athena\internal-quote-system\data\"/>
    </mc:Choice>
  </mc:AlternateContent>
  <xr:revisionPtr revIDLastSave="0" documentId="13_ncr:1_{3B908BB7-2C7D-424E-AE8E-A1BE26F2EC07}" xr6:coauthVersionLast="47" xr6:coauthVersionMax="47" xr10:uidLastSave="{00000000-0000-0000-0000-000000000000}"/>
  <bookViews>
    <workbookView xWindow="-96" yWindow="0" windowWidth="11712" windowHeight="13776" firstSheet="1" activeTab="2" xr2:uid="{00000000-000D-0000-FFFF-FFFF00000000}"/>
  </bookViews>
  <sheets>
    <sheet name="DRY STORES" sheetId="1" r:id="rId1"/>
    <sheet name="FRESH FOODS" sheetId="3" r:id="rId2"/>
    <sheet name="FROZEN FOODS" sheetId="4" r:id="rId3"/>
    <sheet name="Fish &amp; Meats" sheetId="5" r:id="rId4"/>
    <sheet name="HYGIENE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0" i="3" l="1"/>
  <c r="G59" i="3"/>
  <c r="G58" i="3"/>
  <c r="G57" i="3"/>
  <c r="G38" i="2" l="1"/>
  <c r="H38" i="2" s="1"/>
  <c r="G36" i="2"/>
  <c r="H36" i="2" s="1"/>
  <c r="G28" i="2"/>
  <c r="H28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7" i="2"/>
  <c r="H37" i="2" s="1"/>
  <c r="G39" i="2"/>
  <c r="H39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G58" i="2"/>
  <c r="H58" i="2" s="1"/>
  <c r="G59" i="2"/>
  <c r="H59" i="2" s="1"/>
  <c r="G60" i="2"/>
  <c r="H60" i="2" s="1"/>
  <c r="G61" i="2"/>
  <c r="H61" i="2" s="1"/>
  <c r="G62" i="2"/>
  <c r="H62" i="2" s="1"/>
  <c r="G63" i="2"/>
  <c r="H63" i="2" s="1"/>
  <c r="G68" i="5"/>
  <c r="H68" i="5" s="1"/>
  <c r="G8" i="5"/>
  <c r="H8" i="5" s="1"/>
  <c r="G9" i="5"/>
  <c r="H9" i="5" s="1"/>
  <c r="G10" i="5"/>
  <c r="H10" i="5" s="1"/>
  <c r="G11" i="5"/>
  <c r="H11" i="5" s="1"/>
  <c r="G12" i="5"/>
  <c r="H12" i="5" s="1"/>
  <c r="G13" i="5"/>
  <c r="H13" i="5" s="1"/>
  <c r="G14" i="5"/>
  <c r="H14" i="5" s="1"/>
  <c r="G15" i="5"/>
  <c r="H15" i="5" s="1"/>
  <c r="G16" i="5"/>
  <c r="H16" i="5" s="1"/>
  <c r="G17" i="5"/>
  <c r="H17" i="5" s="1"/>
  <c r="G18" i="5"/>
  <c r="H18" i="5" s="1"/>
  <c r="G20" i="5"/>
  <c r="H20" i="5" s="1"/>
  <c r="G21" i="5"/>
  <c r="H21" i="5" s="1"/>
  <c r="G22" i="5"/>
  <c r="H22" i="5" s="1"/>
  <c r="G23" i="5"/>
  <c r="H23" i="5" s="1"/>
  <c r="G24" i="5"/>
  <c r="H24" i="5" s="1"/>
  <c r="G26" i="5"/>
  <c r="H26" i="5" s="1"/>
  <c r="G27" i="5"/>
  <c r="H27" i="5" s="1"/>
  <c r="G28" i="5"/>
  <c r="H28" i="5" s="1"/>
  <c r="G29" i="5"/>
  <c r="H29" i="5" s="1"/>
  <c r="G30" i="5"/>
  <c r="H30" i="5" s="1"/>
  <c r="G31" i="5"/>
  <c r="H31" i="5" s="1"/>
  <c r="G32" i="5"/>
  <c r="H32" i="5" s="1"/>
  <c r="G33" i="5"/>
  <c r="H33" i="5" s="1"/>
  <c r="G34" i="5"/>
  <c r="H34" i="5" s="1"/>
  <c r="G35" i="5"/>
  <c r="H35" i="5" s="1"/>
  <c r="G36" i="5"/>
  <c r="H36" i="5" s="1"/>
  <c r="G37" i="5"/>
  <c r="H37" i="5" s="1"/>
  <c r="G38" i="5"/>
  <c r="H38" i="5" s="1"/>
  <c r="G39" i="5"/>
  <c r="H39" i="5" s="1"/>
  <c r="G40" i="5"/>
  <c r="H40" i="5" s="1"/>
  <c r="G41" i="5"/>
  <c r="H41" i="5" s="1"/>
  <c r="G42" i="5"/>
  <c r="H42" i="5" s="1"/>
  <c r="G43" i="5"/>
  <c r="H43" i="5" s="1"/>
  <c r="G45" i="5"/>
  <c r="H45" i="5" s="1"/>
  <c r="G46" i="5"/>
  <c r="H46" i="5" s="1"/>
  <c r="G47" i="5"/>
  <c r="H47" i="5" s="1"/>
  <c r="G48" i="5"/>
  <c r="H48" i="5" s="1"/>
  <c r="G49" i="5"/>
  <c r="H49" i="5" s="1"/>
  <c r="G50" i="5"/>
  <c r="H50" i="5" s="1"/>
  <c r="G51" i="5"/>
  <c r="H51" i="5" s="1"/>
  <c r="G52" i="5"/>
  <c r="H52" i="5" s="1"/>
  <c r="G53" i="5"/>
  <c r="H53" i="5" s="1"/>
  <c r="G54" i="5"/>
  <c r="H54" i="5" s="1"/>
  <c r="G55" i="5"/>
  <c r="H55" i="5" s="1"/>
  <c r="G56" i="5"/>
  <c r="H56" i="5" s="1"/>
  <c r="G57" i="5"/>
  <c r="H57" i="5" s="1"/>
  <c r="G58" i="5"/>
  <c r="H58" i="5" s="1"/>
  <c r="G59" i="5"/>
  <c r="H59" i="5" s="1"/>
  <c r="G60" i="5"/>
  <c r="H60" i="5" s="1"/>
  <c r="G61" i="5"/>
  <c r="H61" i="5" s="1"/>
  <c r="G62" i="5"/>
  <c r="H62" i="5" s="1"/>
  <c r="G63" i="5"/>
  <c r="H63" i="5" s="1"/>
  <c r="G64" i="5"/>
  <c r="H64" i="5" s="1"/>
  <c r="G65" i="5"/>
  <c r="H65" i="5" s="1"/>
  <c r="G66" i="5"/>
  <c r="H66" i="5" s="1"/>
  <c r="G67" i="5"/>
  <c r="H67" i="5" s="1"/>
  <c r="G69" i="5"/>
  <c r="H69" i="5" s="1"/>
  <c r="G70" i="5"/>
  <c r="H70" i="5" s="1"/>
  <c r="G71" i="5"/>
  <c r="H71" i="5" s="1"/>
  <c r="G72" i="5"/>
  <c r="H72" i="5" s="1"/>
  <c r="G73" i="5"/>
  <c r="H73" i="5" s="1"/>
  <c r="G74" i="5"/>
  <c r="H74" i="5" s="1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9" i="4"/>
  <c r="H40" i="4"/>
  <c r="H41" i="4"/>
  <c r="H42" i="4"/>
  <c r="H43" i="4"/>
  <c r="H44" i="4"/>
  <c r="H45" i="4"/>
  <c r="H46" i="4"/>
  <c r="H47" i="4"/>
  <c r="H48" i="4"/>
  <c r="H50" i="4"/>
  <c r="H51" i="4"/>
  <c r="H52" i="4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4" i="1"/>
  <c r="H35" i="1"/>
  <c r="H36" i="1"/>
  <c r="H38" i="1"/>
  <c r="H39" i="1"/>
  <c r="H40" i="1"/>
  <c r="H41" i="1"/>
  <c r="H42" i="1"/>
  <c r="H43" i="1"/>
  <c r="H44" i="1"/>
  <c r="H45" i="1"/>
  <c r="H46" i="1"/>
  <c r="H48" i="1"/>
  <c r="H49" i="1"/>
  <c r="H50" i="1"/>
  <c r="H51" i="1"/>
  <c r="H52" i="1"/>
  <c r="H53" i="1"/>
  <c r="H54" i="1"/>
  <c r="H55" i="1"/>
  <c r="H56" i="1"/>
  <c r="H57" i="1"/>
  <c r="H59" i="1"/>
  <c r="H60" i="1"/>
  <c r="H61" i="1"/>
  <c r="H62" i="1"/>
  <c r="H63" i="1"/>
  <c r="H64" i="1"/>
  <c r="H66" i="1"/>
  <c r="H67" i="1"/>
  <c r="H68" i="1"/>
  <c r="H69" i="1"/>
  <c r="H70" i="1"/>
  <c r="H71" i="1"/>
  <c r="H73" i="1"/>
  <c r="H74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30" i="1"/>
  <c r="H131" i="1"/>
  <c r="H132" i="1"/>
  <c r="H133" i="1"/>
  <c r="H134" i="1"/>
  <c r="H135" i="1"/>
  <c r="H136" i="1"/>
  <c r="H137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2" i="1"/>
  <c r="H183" i="1"/>
  <c r="H184" i="1"/>
  <c r="H185" i="1"/>
  <c r="H186" i="1"/>
  <c r="H187" i="1"/>
  <c r="H188" i="1"/>
  <c r="H189" i="1"/>
  <c r="H190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7" i="1"/>
  <c r="H208" i="1"/>
  <c r="H209" i="1"/>
  <c r="H210" i="1"/>
  <c r="H211" i="1"/>
  <c r="H212" i="1"/>
  <c r="H213" i="1"/>
  <c r="H214" i="1"/>
  <c r="H215" i="1"/>
  <c r="H216" i="1"/>
  <c r="H217" i="1"/>
  <c r="H219" i="1"/>
  <c r="H220" i="1"/>
  <c r="H221" i="1"/>
  <c r="H222" i="1"/>
  <c r="H223" i="1"/>
  <c r="H224" i="1"/>
  <c r="H225" i="1"/>
  <c r="H226" i="1"/>
  <c r="H227" i="1"/>
  <c r="H228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4" i="1"/>
  <c r="H245" i="1"/>
  <c r="H246" i="1"/>
  <c r="H247" i="1"/>
  <c r="H248" i="1"/>
  <c r="H249" i="1"/>
  <c r="H250" i="1"/>
  <c r="H251" i="1"/>
  <c r="H252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G42" i="4"/>
  <c r="G41" i="4"/>
  <c r="G40" i="4"/>
  <c r="G39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9" i="4"/>
  <c r="G30" i="4"/>
  <c r="G28" i="4"/>
  <c r="G31" i="4"/>
  <c r="G32" i="4"/>
  <c r="G33" i="4"/>
  <c r="G34" i="4"/>
  <c r="G35" i="4"/>
  <c r="G36" i="4"/>
  <c r="G37" i="4"/>
  <c r="G43" i="4"/>
  <c r="G44" i="4"/>
  <c r="G45" i="4"/>
  <c r="G46" i="4"/>
  <c r="G47" i="4"/>
  <c r="G48" i="4"/>
  <c r="G50" i="4"/>
  <c r="G51" i="4"/>
  <c r="G52" i="4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3" i="3"/>
  <c r="G104" i="3"/>
  <c r="G105" i="3"/>
  <c r="G106" i="3"/>
  <c r="G107" i="3"/>
  <c r="G108" i="3"/>
  <c r="G109" i="3"/>
  <c r="G110" i="3"/>
  <c r="G111" i="3"/>
  <c r="G113" i="3"/>
  <c r="G114" i="3"/>
  <c r="G115" i="3"/>
  <c r="G116" i="3"/>
  <c r="G117" i="3"/>
  <c r="G119" i="3"/>
  <c r="G120" i="3"/>
  <c r="G121" i="3"/>
  <c r="G122" i="3"/>
  <c r="G123" i="3"/>
  <c r="G124" i="3"/>
  <c r="G125" i="3"/>
  <c r="G127" i="3"/>
  <c r="G128" i="3"/>
  <c r="G129" i="3"/>
  <c r="G62" i="3"/>
  <c r="G8" i="3"/>
  <c r="G204" i="1"/>
  <c r="G203" i="1"/>
  <c r="G82" i="1"/>
  <c r="G60" i="1"/>
  <c r="G61" i="1"/>
  <c r="G31" i="1"/>
  <c r="G32" i="1"/>
  <c r="G18" i="1"/>
  <c r="G19" i="1"/>
  <c r="G20" i="1"/>
  <c r="G9" i="1"/>
  <c r="G201" i="1"/>
  <c r="G202" i="1"/>
  <c r="G205" i="1"/>
  <c r="G207" i="1"/>
  <c r="G208" i="1"/>
  <c r="G209" i="1"/>
  <c r="G210" i="1"/>
  <c r="G211" i="1"/>
  <c r="G212" i="1"/>
  <c r="G213" i="1"/>
  <c r="G214" i="1"/>
  <c r="G215" i="1"/>
  <c r="G216" i="1"/>
  <c r="G217" i="1"/>
  <c r="G219" i="1"/>
  <c r="G220" i="1"/>
  <c r="G221" i="1"/>
  <c r="G222" i="1"/>
  <c r="G223" i="1"/>
  <c r="G224" i="1"/>
  <c r="G225" i="1"/>
  <c r="G226" i="1"/>
  <c r="G227" i="1"/>
  <c r="G228" i="1"/>
  <c r="G230" i="1"/>
  <c r="G231" i="1"/>
  <c r="G232" i="1"/>
  <c r="G233" i="1"/>
  <c r="G234" i="1"/>
  <c r="G235" i="1"/>
  <c r="G236" i="1"/>
  <c r="G237" i="1"/>
  <c r="G238" i="1"/>
  <c r="G239" i="1"/>
  <c r="G240" i="1"/>
  <c r="G242" i="1"/>
  <c r="G244" i="1"/>
  <c r="G245" i="1"/>
  <c r="G246" i="1"/>
  <c r="G247" i="1"/>
  <c r="G248" i="1"/>
  <c r="G249" i="1"/>
  <c r="G250" i="1"/>
  <c r="G251" i="1"/>
  <c r="G252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83" i="1"/>
  <c r="G84" i="1"/>
  <c r="G85" i="1"/>
  <c r="G86" i="1"/>
  <c r="G87" i="1"/>
  <c r="G88" i="1"/>
  <c r="G89" i="1"/>
  <c r="G90" i="1"/>
  <c r="G91" i="1"/>
  <c r="G92" i="1"/>
  <c r="G78" i="1"/>
  <c r="G79" i="1"/>
  <c r="G93" i="1"/>
  <c r="G94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30" i="1"/>
  <c r="G131" i="1"/>
  <c r="G132" i="1"/>
  <c r="G133" i="1"/>
  <c r="G134" i="1"/>
  <c r="G135" i="1"/>
  <c r="G136" i="1"/>
  <c r="G137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71" i="1"/>
  <c r="G172" i="1"/>
  <c r="G173" i="1"/>
  <c r="G174" i="1"/>
  <c r="G175" i="1"/>
  <c r="G176" i="1"/>
  <c r="G177" i="1"/>
  <c r="G178" i="1"/>
  <c r="G179" i="1"/>
  <c r="G180" i="1"/>
  <c r="G182" i="1"/>
  <c r="G183" i="1"/>
  <c r="G184" i="1"/>
  <c r="G185" i="1"/>
  <c r="G186" i="1"/>
  <c r="G187" i="1"/>
  <c r="G188" i="1"/>
  <c r="G189" i="1"/>
  <c r="G190" i="1"/>
  <c r="G192" i="1"/>
  <c r="G193" i="1"/>
  <c r="G194" i="1"/>
  <c r="G195" i="1"/>
  <c r="G196" i="1"/>
  <c r="G197" i="1"/>
  <c r="G66" i="1"/>
  <c r="G67" i="1"/>
  <c r="G68" i="1"/>
  <c r="G69" i="1"/>
  <c r="G70" i="1"/>
  <c r="G71" i="1"/>
  <c r="G73" i="1"/>
  <c r="G74" i="1"/>
  <c r="G76" i="1"/>
  <c r="G80" i="1"/>
  <c r="G81" i="1"/>
  <c r="G64" i="1"/>
  <c r="G38" i="1"/>
  <c r="G39" i="1"/>
  <c r="G40" i="1"/>
  <c r="G41" i="1"/>
  <c r="G42" i="1"/>
  <c r="G43" i="1"/>
  <c r="G44" i="1"/>
  <c r="G45" i="1"/>
  <c r="G46" i="1"/>
  <c r="G48" i="1"/>
  <c r="G49" i="1"/>
  <c r="G50" i="1"/>
  <c r="G51" i="1"/>
  <c r="G52" i="1"/>
  <c r="G53" i="1"/>
  <c r="G54" i="1"/>
  <c r="G55" i="1"/>
  <c r="G56" i="1"/>
  <c r="G57" i="1"/>
  <c r="G59" i="1"/>
  <c r="G62" i="1"/>
  <c r="G63" i="1"/>
  <c r="G10" i="1"/>
  <c r="G11" i="1"/>
  <c r="G12" i="1"/>
  <c r="G13" i="1"/>
  <c r="G14" i="1"/>
  <c r="G15" i="1"/>
  <c r="G16" i="1"/>
  <c r="G17" i="1"/>
  <c r="G21" i="1"/>
  <c r="G22" i="1"/>
  <c r="G23" i="1"/>
  <c r="G24" i="1"/>
  <c r="G25" i="1"/>
  <c r="G26" i="1"/>
  <c r="G27" i="1"/>
  <c r="G28" i="1"/>
  <c r="G29" i="1"/>
  <c r="G30" i="1"/>
  <c r="G34" i="1"/>
  <c r="G35" i="1"/>
  <c r="G36" i="1"/>
  <c r="G8" i="1"/>
  <c r="H87" i="3" l="1"/>
  <c r="H87" i="3" a="1"/>
  <c r="H49" i="3"/>
  <c r="H49" i="3" a="1"/>
  <c r="H27" i="3"/>
  <c r="H27" i="3" a="1"/>
  <c r="H124" i="3"/>
  <c r="H124" i="3" a="1"/>
  <c r="H37" i="3"/>
  <c r="H37" i="3" a="1"/>
  <c r="H69" i="3"/>
  <c r="H69" i="3" a="1"/>
  <c r="H101" i="3"/>
  <c r="H101" i="3" a="1"/>
  <c r="H16" i="3"/>
  <c r="H16" i="3" a="1"/>
  <c r="H13" i="3"/>
  <c r="H13" i="3" a="1"/>
  <c r="H116" i="3"/>
  <c r="H116" i="3" a="1"/>
  <c r="H128" i="3"/>
  <c r="H128" i="3" a="1"/>
  <c r="H9" i="3"/>
  <c r="H9" i="3" a="1"/>
  <c r="H18" i="3"/>
  <c r="H18" i="3" a="1"/>
  <c r="H64" i="3"/>
  <c r="H64" i="3" a="1"/>
  <c r="H74" i="3"/>
  <c r="H74" i="3" a="1"/>
  <c r="H17" i="3"/>
  <c r="H17" i="3" a="1"/>
  <c r="H57" i="3"/>
  <c r="H57" i="3" a="1"/>
  <c r="H109" i="3"/>
  <c r="H109" i="3" a="1"/>
  <c r="H89" i="3"/>
  <c r="H89" i="3" a="1"/>
  <c r="H52" i="3"/>
  <c r="H52" i="3" a="1"/>
  <c r="H71" i="3"/>
  <c r="H71" i="3" a="1"/>
  <c r="H129" i="3"/>
  <c r="H129" i="3" a="1"/>
  <c r="H22" i="3"/>
  <c r="H22" i="3" a="1"/>
  <c r="H80" i="3"/>
  <c r="H80" i="3" a="1"/>
  <c r="H38" i="3"/>
  <c r="H38" i="3" a="1"/>
  <c r="H23" i="3"/>
  <c r="H23" i="3" a="1"/>
  <c r="H119" i="3"/>
  <c r="H119" i="3" a="1"/>
  <c r="H79" i="3"/>
  <c r="H79" i="3" a="1"/>
  <c r="H70" i="3"/>
  <c r="H70" i="3" a="1"/>
  <c r="H77" i="3"/>
  <c r="H77" i="3" a="1"/>
  <c r="H55" i="3"/>
  <c r="H55" i="3" a="1"/>
  <c r="H26" i="3"/>
  <c r="H26" i="3" a="1"/>
  <c r="H127" i="3"/>
  <c r="H127" i="3" a="1"/>
  <c r="H53" i="3"/>
  <c r="H53" i="3" a="1"/>
  <c r="H45" i="3"/>
  <c r="H45" i="3" a="1"/>
  <c r="H76" i="3"/>
  <c r="H76" i="3" a="1"/>
  <c r="H42" i="3"/>
  <c r="H42" i="3" a="1"/>
  <c r="H20" i="3"/>
  <c r="H20" i="3" a="1"/>
  <c r="H122" i="3"/>
  <c r="H122" i="3" a="1"/>
  <c r="H94" i="3"/>
  <c r="H94" i="3" a="1"/>
  <c r="H121" i="3"/>
  <c r="H121" i="3" a="1"/>
  <c r="H91" i="3"/>
  <c r="H91" i="3" a="1"/>
  <c r="H48" i="3"/>
  <c r="H48" i="3" a="1"/>
  <c r="H46" i="3"/>
  <c r="H46" i="3" a="1"/>
  <c r="H117" i="3"/>
  <c r="H117" i="3" a="1"/>
  <c r="H15" i="3"/>
  <c r="H15" i="3" a="1"/>
  <c r="H67" i="3"/>
  <c r="H67" i="3" a="1"/>
  <c r="H86" i="3"/>
  <c r="H86" i="3" a="1"/>
  <c r="H10" i="3"/>
  <c r="H10" i="3" a="1"/>
  <c r="H31" i="3"/>
  <c r="H31" i="3" a="1"/>
  <c r="H104" i="3"/>
  <c r="H104" i="3" a="1"/>
  <c r="H41" i="3"/>
  <c r="H41" i="3" a="1"/>
  <c r="H120" i="3"/>
  <c r="H120" i="3" a="1"/>
  <c r="H24" i="3"/>
  <c r="H24" i="3" a="1"/>
  <c r="H65" i="3"/>
  <c r="H65" i="3" a="1"/>
  <c r="H107" i="3"/>
  <c r="H107" i="3" a="1"/>
  <c r="H29" i="3"/>
  <c r="H29" i="3" a="1"/>
  <c r="H32" i="3"/>
  <c r="H32" i="3" a="1"/>
  <c r="H114" i="3"/>
  <c r="H114" i="3" a="1"/>
  <c r="H115" i="3"/>
  <c r="H115" i="3" a="1"/>
  <c r="H59" i="3"/>
  <c r="H59" i="3" a="1"/>
  <c r="H35" i="3"/>
  <c r="H35" i="3" a="1"/>
  <c r="H54" i="3"/>
  <c r="H54" i="3" a="1"/>
  <c r="H44" i="3"/>
  <c r="H44" i="3" a="1"/>
  <c r="H93" i="3"/>
  <c r="H93" i="3" a="1"/>
  <c r="H34" i="3"/>
  <c r="H34" i="3" a="1"/>
  <c r="H8" i="3"/>
  <c r="H78" i="3"/>
  <c r="H78" i="3" a="1"/>
  <c r="H110" i="3"/>
  <c r="H110" i="3" a="1"/>
  <c r="H39" i="3"/>
  <c r="H39" i="3" a="1"/>
  <c r="H72" i="3"/>
  <c r="H72" i="3" a="1"/>
  <c r="H81" i="3"/>
  <c r="H81" i="3" a="1"/>
  <c r="H36" i="3"/>
  <c r="H36" i="3" a="1"/>
  <c r="H66" i="3"/>
  <c r="H66" i="3" a="1"/>
  <c r="H82" i="3"/>
  <c r="H82" i="3" a="1"/>
  <c r="H73" i="3"/>
  <c r="H73" i="3" a="1"/>
  <c r="H33" i="3"/>
  <c r="H33" i="3" a="1"/>
  <c r="H14" i="3"/>
  <c r="H14" i="3" a="1"/>
  <c r="H85" i="3"/>
  <c r="H85" i="3" a="1"/>
  <c r="H25" i="3"/>
  <c r="H25" i="3" a="1"/>
  <c r="H113" i="3"/>
  <c r="H113" i="3" a="1"/>
  <c r="H43" i="3"/>
  <c r="H43" i="3" a="1"/>
  <c r="H56" i="3"/>
  <c r="H56" i="3" a="1"/>
  <c r="H92" i="3"/>
  <c r="H92" i="3" a="1"/>
  <c r="H90" i="3"/>
  <c r="H90" i="3" a="1"/>
  <c r="H12" i="3"/>
  <c r="H12" i="3" a="1"/>
  <c r="H106" i="3"/>
  <c r="H106" i="3" a="1"/>
  <c r="H30" i="3"/>
  <c r="H30" i="3" a="1"/>
  <c r="H88" i="3"/>
  <c r="H88" i="3" a="1"/>
  <c r="H40" i="3"/>
  <c r="H40" i="3" a="1"/>
  <c r="H50" i="3"/>
  <c r="H50" i="3" a="1"/>
  <c r="H123" i="3"/>
  <c r="H123" i="3" a="1"/>
  <c r="H105" i="3"/>
  <c r="H105" i="3" a="1"/>
  <c r="H47" i="3"/>
  <c r="H47" i="3" a="1"/>
  <c r="H28" i="3"/>
  <c r="H28" i="3" a="1"/>
  <c r="H63" i="3"/>
  <c r="H63" i="3" a="1"/>
  <c r="H75" i="3"/>
  <c r="H75" i="3" a="1"/>
  <c r="H62" i="3"/>
  <c r="H62" i="3" a="1"/>
  <c r="H84" i="3"/>
  <c r="H84" i="3" a="1"/>
  <c r="H11" i="3"/>
  <c r="H11" i="3" a="1"/>
  <c r="H68" i="3"/>
  <c r="H68" i="3" a="1"/>
  <c r="H98" i="3"/>
  <c r="H98" i="3" a="1"/>
  <c r="H108" i="3"/>
  <c r="H108" i="3" a="1"/>
  <c r="H111" i="3"/>
  <c r="H111" i="3" a="1"/>
  <c r="H21" i="3"/>
  <c r="H21" i="3" a="1"/>
  <c r="H96" i="3"/>
  <c r="H96" i="3" a="1"/>
  <c r="H97" i="3"/>
  <c r="H97" i="3" a="1"/>
  <c r="H99" i="3"/>
  <c r="H99" i="3" a="1"/>
  <c r="H125" i="3"/>
  <c r="H125" i="3" a="1"/>
  <c r="H58" i="3"/>
  <c r="H58" i="3" a="1"/>
  <c r="H19" i="3"/>
  <c r="H19" i="3" a="1"/>
  <c r="H60" i="3"/>
  <c r="H60" i="3" a="1"/>
  <c r="H103" i="3"/>
  <c r="H103" i="3" a="1"/>
  <c r="H51" i="3"/>
  <c r="H51" i="3" a="1"/>
  <c r="H95" i="3"/>
  <c r="H95" i="3" a="1"/>
  <c r="H100" i="3"/>
  <c r="H8" i="3" a="1"/>
  <c r="H100" i="3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<sst xmlns="http://schemas.openxmlformats.org/spreadsheetml/2006/main" count="1741" uniqueCount="1277">
  <si>
    <t>PACKAGING PER CTN</t>
  </si>
  <si>
    <t>ORDER QTY</t>
  </si>
  <si>
    <t>COMMENTS</t>
  </si>
  <si>
    <t>item code</t>
  </si>
  <si>
    <t>DRY STORES - WATER/SOFT DRINKS</t>
  </si>
  <si>
    <t xml:space="preserve">Vivat still spring water </t>
  </si>
  <si>
    <t>DRK035</t>
  </si>
  <si>
    <t>DRK314</t>
  </si>
  <si>
    <t>DRK014</t>
  </si>
  <si>
    <t>Vivat sparkling spring water</t>
  </si>
  <si>
    <t>12x1.5L</t>
  </si>
  <si>
    <t>DRN181</t>
  </si>
  <si>
    <t xml:space="preserve">Glaceau smartwater </t>
  </si>
  <si>
    <t>DRK063</t>
  </si>
  <si>
    <t>Coca-cola cans</t>
  </si>
  <si>
    <t>Coca-cola Diet cans</t>
  </si>
  <si>
    <t>DRK062</t>
  </si>
  <si>
    <t>DRK075</t>
  </si>
  <si>
    <t>Fanta Orange cans</t>
  </si>
  <si>
    <t>DRK699</t>
  </si>
  <si>
    <t xml:space="preserve">7UP cans </t>
  </si>
  <si>
    <t>DRK980</t>
  </si>
  <si>
    <t>7UP Sugar-free cans</t>
  </si>
  <si>
    <t xml:space="preserve">DRK696 </t>
  </si>
  <si>
    <t>Pepsi cans</t>
  </si>
  <si>
    <t>DRK698</t>
  </si>
  <si>
    <t>Pepsi Max cans</t>
  </si>
  <si>
    <t>DRK155</t>
  </si>
  <si>
    <t>Irn Bru cans</t>
  </si>
  <si>
    <t>DRK512</t>
  </si>
  <si>
    <t>Vimto Fizzy cans</t>
  </si>
  <si>
    <t>DRN389</t>
  </si>
  <si>
    <t xml:space="preserve">Coca-cola Bottles </t>
  </si>
  <si>
    <t>DRK053</t>
  </si>
  <si>
    <t>Coca-cola Diet Bottles</t>
  </si>
  <si>
    <t>DRK526</t>
  </si>
  <si>
    <t>DRK777</t>
  </si>
  <si>
    <t>Pepsi Bottles</t>
  </si>
  <si>
    <t>7UP Bottles</t>
  </si>
  <si>
    <t>DRN377</t>
  </si>
  <si>
    <t>Pepsi Max Bottles</t>
  </si>
  <si>
    <t>DRY STORES - Juice/ Cordials</t>
  </si>
  <si>
    <t>DRK298</t>
  </si>
  <si>
    <t xml:space="preserve">DRK299 </t>
  </si>
  <si>
    <t>DRK363</t>
  </si>
  <si>
    <t>DRY STORES - Coffee &amp; Tea</t>
  </si>
  <si>
    <t>COF003</t>
  </si>
  <si>
    <t>COF005</t>
  </si>
  <si>
    <t>COF072</t>
  </si>
  <si>
    <t>COF013</t>
  </si>
  <si>
    <t>Lavazza Espresso super crema</t>
  </si>
  <si>
    <t>6x1KG</t>
  </si>
  <si>
    <t>Lazvazza Gran Espresso</t>
  </si>
  <si>
    <t>Lavazza super Gusto</t>
  </si>
  <si>
    <t>Lavazza Top Class Beans</t>
  </si>
  <si>
    <t>Tetley Tea bags</t>
  </si>
  <si>
    <t>1x1100</t>
  </si>
  <si>
    <t>PG Tea Bags</t>
  </si>
  <si>
    <t>1x100</t>
  </si>
  <si>
    <t xml:space="preserve">TEA070 </t>
  </si>
  <si>
    <t>TEA027</t>
  </si>
  <si>
    <t>TEA077</t>
  </si>
  <si>
    <t>TEA023</t>
  </si>
  <si>
    <t>Caykur Rize Turkish Tea</t>
  </si>
  <si>
    <t>1x500g</t>
  </si>
  <si>
    <t>DRY STORES - Tinned Vegetables &amp; Fruits</t>
  </si>
  <si>
    <t>VEG072</t>
  </si>
  <si>
    <t>VEG066</t>
  </si>
  <si>
    <t>VEG063</t>
  </si>
  <si>
    <t>VEG709</t>
  </si>
  <si>
    <t>Heinz Baked Beans</t>
  </si>
  <si>
    <t>VEG598</t>
  </si>
  <si>
    <t>6x2.55KG</t>
  </si>
  <si>
    <t>1x2.61KG</t>
  </si>
  <si>
    <t>VEG062</t>
  </si>
  <si>
    <t>VEG064</t>
  </si>
  <si>
    <t>Sliced Mushrooms</t>
  </si>
  <si>
    <t>1x2.55KG</t>
  </si>
  <si>
    <t>1x10KG</t>
  </si>
  <si>
    <t>VEG597</t>
  </si>
  <si>
    <t>6x2.5KG</t>
  </si>
  <si>
    <t xml:space="preserve">VEG596 </t>
  </si>
  <si>
    <t>VEG217</t>
  </si>
  <si>
    <t>Italian Plum Tomatoes</t>
  </si>
  <si>
    <t>VEG777</t>
  </si>
  <si>
    <t>VEG055</t>
  </si>
  <si>
    <t>DRY STORES - Tinned tomatoes / Chopped tomatoes</t>
  </si>
  <si>
    <t xml:space="preserve">DRY STORES - Pickled Vegetables </t>
  </si>
  <si>
    <t>Dutch Gherkins (Glass Jar)</t>
  </si>
  <si>
    <t>1x2.45KG</t>
  </si>
  <si>
    <t>VEG227</t>
  </si>
  <si>
    <t xml:space="preserve">NVR Chips Sliced Gherkins </t>
  </si>
  <si>
    <t>1x2.65KG</t>
  </si>
  <si>
    <t>VEG060</t>
  </si>
  <si>
    <t xml:space="preserve">Pickled Onions </t>
  </si>
  <si>
    <t>1x2.25KG</t>
  </si>
  <si>
    <t>VEG056</t>
  </si>
  <si>
    <t>1x10L</t>
  </si>
  <si>
    <t>PIZ033</t>
  </si>
  <si>
    <t>1x3KG</t>
  </si>
  <si>
    <t>VEG113</t>
  </si>
  <si>
    <t>Fruit Cocktail in juice</t>
  </si>
  <si>
    <t>FRU071</t>
  </si>
  <si>
    <t>Kesar Mango Pulp</t>
  </si>
  <si>
    <t>6x850g</t>
  </si>
  <si>
    <t>1x5L</t>
  </si>
  <si>
    <t>VEG708</t>
  </si>
  <si>
    <t>Black olives</t>
  </si>
  <si>
    <t>1x800g</t>
  </si>
  <si>
    <t>VEG834</t>
  </si>
  <si>
    <t>Green Olives</t>
  </si>
  <si>
    <t>1x700g</t>
  </si>
  <si>
    <t>VEG0074</t>
  </si>
  <si>
    <t>FSH250</t>
  </si>
  <si>
    <t>Amanda Pressed Roe</t>
  </si>
  <si>
    <t>1x600g</t>
  </si>
  <si>
    <t>FSH110</t>
  </si>
  <si>
    <t>Tuna Chunks in Brine</t>
  </si>
  <si>
    <t>SAU024</t>
  </si>
  <si>
    <t>6x1L</t>
  </si>
  <si>
    <t>SAU037</t>
  </si>
  <si>
    <t>SAU017</t>
  </si>
  <si>
    <t>SAU240</t>
  </si>
  <si>
    <t>Multi-Pack bottles</t>
  </si>
  <si>
    <t>Mayo, Garlic Mayo, Burger sauce</t>
  </si>
  <si>
    <t>SAU019</t>
  </si>
  <si>
    <t>Brown Sauce bottles</t>
  </si>
  <si>
    <t>3x1L</t>
  </si>
  <si>
    <t>SAU031</t>
  </si>
  <si>
    <t>SAU144</t>
  </si>
  <si>
    <t>Tomato Ketchup bottles</t>
  </si>
  <si>
    <t>Burger Sauce bottles</t>
  </si>
  <si>
    <t>SAU023</t>
  </si>
  <si>
    <t xml:space="preserve">Extra Chilli Sauce bottles </t>
  </si>
  <si>
    <t>SAU033</t>
  </si>
  <si>
    <t>American Mild Mustard bottles</t>
  </si>
  <si>
    <t>SAU631</t>
  </si>
  <si>
    <t>1x1L</t>
  </si>
  <si>
    <t>SAU246</t>
  </si>
  <si>
    <t xml:space="preserve">Sweet chilli Sauce bottles </t>
  </si>
  <si>
    <t>SAU607</t>
  </si>
  <si>
    <t xml:space="preserve">spicy mayo </t>
  </si>
  <si>
    <t>SAU253</t>
  </si>
  <si>
    <t>Yoghurt &amp; Mint sauce bottles</t>
  </si>
  <si>
    <t>SAU633</t>
  </si>
  <si>
    <t>Garlic and Herb</t>
  </si>
  <si>
    <t>SAU219</t>
  </si>
  <si>
    <t>Heinz tomato ketchup bottles</t>
  </si>
  <si>
    <t>SAU630</t>
  </si>
  <si>
    <t xml:space="preserve">Heinz Tomato ketchup </t>
  </si>
  <si>
    <t>SAU546</t>
  </si>
  <si>
    <t>SAU452</t>
  </si>
  <si>
    <t>2x4L</t>
  </si>
  <si>
    <t>2x2.27</t>
  </si>
  <si>
    <t xml:space="preserve">DRY STORES - SAUCES </t>
  </si>
  <si>
    <t>DRY STORES - Dressings &amp; Vinegars</t>
  </si>
  <si>
    <t>SAU509</t>
  </si>
  <si>
    <t xml:space="preserve">Lion Caesar Dressing </t>
  </si>
  <si>
    <t>2x2.27L</t>
  </si>
  <si>
    <t>SAU229</t>
  </si>
  <si>
    <t xml:space="preserve">Lion Salad Cream </t>
  </si>
  <si>
    <t>SAU217</t>
  </si>
  <si>
    <t>French Dressing with extra olive oil</t>
  </si>
  <si>
    <t>SAU122</t>
  </si>
  <si>
    <t>Lion Thousand island Dressing</t>
  </si>
  <si>
    <t>SAU447</t>
  </si>
  <si>
    <t>4x5L</t>
  </si>
  <si>
    <t>SAU448</t>
  </si>
  <si>
    <t>1x20L</t>
  </si>
  <si>
    <t>SAU449</t>
  </si>
  <si>
    <t>2x5L</t>
  </si>
  <si>
    <t>SAU315</t>
  </si>
  <si>
    <t xml:space="preserve">Red Wine Vinegar </t>
  </si>
  <si>
    <t>SAU660</t>
  </si>
  <si>
    <t>Lee Kum Kee Hoisin Sauce</t>
  </si>
  <si>
    <t>1x20KG</t>
  </si>
  <si>
    <t>1x1KG</t>
  </si>
  <si>
    <t>SAU661</t>
  </si>
  <si>
    <t>SAU662</t>
  </si>
  <si>
    <t>1x18L</t>
  </si>
  <si>
    <t xml:space="preserve">SAU658 </t>
  </si>
  <si>
    <t>Tamari Soy Sauce (Gluten Free)</t>
  </si>
  <si>
    <t>SAU654</t>
  </si>
  <si>
    <t>SAU651</t>
  </si>
  <si>
    <t>Less salt soy sauce</t>
  </si>
  <si>
    <t>DRY STORES - Cooking Ingredients</t>
  </si>
  <si>
    <t>SAU331</t>
  </si>
  <si>
    <t xml:space="preserve">Tomato paste Double Concentrated </t>
  </si>
  <si>
    <t>SAU245</t>
  </si>
  <si>
    <t xml:space="preserve">Mild pepper paste </t>
  </si>
  <si>
    <t>1x4.3KG</t>
  </si>
  <si>
    <t>SAU118</t>
  </si>
  <si>
    <t>Tomato paste</t>
  </si>
  <si>
    <t>1x4.5KG</t>
  </si>
  <si>
    <t>SAU336</t>
  </si>
  <si>
    <t>Hot pepper paste</t>
  </si>
  <si>
    <t>SAU026</t>
  </si>
  <si>
    <t>SAU097</t>
  </si>
  <si>
    <t>Sultanas Curry Sauce Mix</t>
  </si>
  <si>
    <t>1x4.54KG</t>
  </si>
  <si>
    <t>SPI485</t>
  </si>
  <si>
    <t>Cooks &amp; Garlic Pure</t>
  </si>
  <si>
    <t>1x1.2KG</t>
  </si>
  <si>
    <t>SAU098</t>
  </si>
  <si>
    <t xml:space="preserve">Vegetarian Curry Mix </t>
  </si>
  <si>
    <t>SAU535</t>
  </si>
  <si>
    <t>Original Gravy Mix</t>
  </si>
  <si>
    <t>2x2.5KG</t>
  </si>
  <si>
    <t>SAU583</t>
  </si>
  <si>
    <t>1x2KG</t>
  </si>
  <si>
    <t>1x2.5KG</t>
  </si>
  <si>
    <t>SPI259</t>
  </si>
  <si>
    <t xml:space="preserve">KTC Coconut Milk </t>
  </si>
  <si>
    <t>SAU593</t>
  </si>
  <si>
    <t>SAU006</t>
  </si>
  <si>
    <t>Sena Lemon Dressing</t>
  </si>
  <si>
    <t>SAU364</t>
  </si>
  <si>
    <t>KTC Lemon Dressing</t>
  </si>
  <si>
    <t>SAU384</t>
  </si>
  <si>
    <t xml:space="preserve">KTC Lemon juice </t>
  </si>
  <si>
    <t>SPI255</t>
  </si>
  <si>
    <t>KTC Sweet Mango Chutney</t>
  </si>
  <si>
    <t>SPI605</t>
  </si>
  <si>
    <t>SAU053</t>
  </si>
  <si>
    <t xml:space="preserve">Bick's Hamburger Relish </t>
  </si>
  <si>
    <t>DRY STORES - Herbs &amp; Spices</t>
  </si>
  <si>
    <t>SPI527</t>
  </si>
  <si>
    <t>1x900g</t>
  </si>
  <si>
    <t>SPI541</t>
  </si>
  <si>
    <t>JJ Sumac</t>
  </si>
  <si>
    <t>SPI529</t>
  </si>
  <si>
    <t>SPI596</t>
  </si>
  <si>
    <t>1x1.75KG</t>
  </si>
  <si>
    <t>SPI533</t>
  </si>
  <si>
    <t>1x1.5KG</t>
  </si>
  <si>
    <t>SPI530</t>
  </si>
  <si>
    <t xml:space="preserve">SPI543 </t>
  </si>
  <si>
    <t>SPI550</t>
  </si>
  <si>
    <t>SPI528</t>
  </si>
  <si>
    <t>SPI540</t>
  </si>
  <si>
    <t>White pepper Powder</t>
  </si>
  <si>
    <t>SPI534</t>
  </si>
  <si>
    <t>SPI531</t>
  </si>
  <si>
    <t>SPI597</t>
  </si>
  <si>
    <t>SPI286</t>
  </si>
  <si>
    <t>Tumeric Powder</t>
  </si>
  <si>
    <t>SPI288</t>
  </si>
  <si>
    <t>Coriander Powder</t>
  </si>
  <si>
    <t>SPI292</t>
  </si>
  <si>
    <t xml:space="preserve">Garam Masala </t>
  </si>
  <si>
    <t>SPI294</t>
  </si>
  <si>
    <t>Desiccated Coconut</t>
  </si>
  <si>
    <t>SPI356</t>
  </si>
  <si>
    <t>Gourmet crispy fried onions</t>
  </si>
  <si>
    <t>SPI429</t>
  </si>
  <si>
    <t>Creamed Coconut</t>
  </si>
  <si>
    <t>12x200g</t>
  </si>
  <si>
    <t>SPI323</t>
  </si>
  <si>
    <t>Almond Flakes</t>
  </si>
  <si>
    <t>SPI324</t>
  </si>
  <si>
    <t>Split Cashews</t>
  </si>
  <si>
    <t>SPI326</t>
  </si>
  <si>
    <t>SPI332</t>
  </si>
  <si>
    <t>Crushed Chillies</t>
  </si>
  <si>
    <t>SPI336</t>
  </si>
  <si>
    <t>SPI343</t>
  </si>
  <si>
    <t>Whole Black Pepper</t>
  </si>
  <si>
    <t>SPI344</t>
  </si>
  <si>
    <t>Hulled Sesame Seeds</t>
  </si>
  <si>
    <t>SPI391</t>
  </si>
  <si>
    <t xml:space="preserve">All-seasoning </t>
  </si>
  <si>
    <t>1x840g</t>
  </si>
  <si>
    <t>SPI475</t>
  </si>
  <si>
    <t>1x320g</t>
  </si>
  <si>
    <t>SPI378</t>
  </si>
  <si>
    <t>Basil</t>
  </si>
  <si>
    <t>1x145g</t>
  </si>
  <si>
    <t>SPI385</t>
  </si>
  <si>
    <t>Mixed herbs</t>
  </si>
  <si>
    <t>1x100g</t>
  </si>
  <si>
    <t xml:space="preserve">Oregano </t>
  </si>
  <si>
    <t xml:space="preserve">Table Salt in Tub </t>
  </si>
  <si>
    <t>2x6KG</t>
  </si>
  <si>
    <t>SPI082</t>
  </si>
  <si>
    <t>SPI019</t>
  </si>
  <si>
    <t>1x12KG</t>
  </si>
  <si>
    <t>SPI018</t>
  </si>
  <si>
    <t xml:space="preserve">Salt Sachets </t>
  </si>
  <si>
    <t>SPI011</t>
  </si>
  <si>
    <t>Pepper Sachets</t>
  </si>
  <si>
    <t>SPI029</t>
  </si>
  <si>
    <t>Tate &amp; Lyle Granulated Sugar</t>
  </si>
  <si>
    <t>15x1KG</t>
  </si>
  <si>
    <t>SPI524</t>
  </si>
  <si>
    <t>1x5KG</t>
  </si>
  <si>
    <t>SPI021</t>
  </si>
  <si>
    <t>SPI395</t>
  </si>
  <si>
    <t>1x25KG</t>
  </si>
  <si>
    <t>SPI022</t>
  </si>
  <si>
    <t>1x5000 PCS</t>
  </si>
  <si>
    <t>1x1000 PCS</t>
  </si>
  <si>
    <t>SPI025</t>
  </si>
  <si>
    <t>brown Sugar Sticks</t>
  </si>
  <si>
    <t>White Sugar Sticks</t>
  </si>
  <si>
    <t>SPI081</t>
  </si>
  <si>
    <t xml:space="preserve">DRY STORES - Pasta / Noodles </t>
  </si>
  <si>
    <t>PST070</t>
  </si>
  <si>
    <t xml:space="preserve">Pasta Reggia Fusili </t>
  </si>
  <si>
    <t>PST114</t>
  </si>
  <si>
    <t>Pasta Reggia Penne</t>
  </si>
  <si>
    <t>PST068</t>
  </si>
  <si>
    <t>PST041</t>
  </si>
  <si>
    <t>24x500g</t>
  </si>
  <si>
    <t>PST042</t>
  </si>
  <si>
    <t>PST044</t>
  </si>
  <si>
    <t>PST092</t>
  </si>
  <si>
    <t xml:space="preserve">Thick Noodle </t>
  </si>
  <si>
    <t>1x9KG</t>
  </si>
  <si>
    <t>PST153</t>
  </si>
  <si>
    <t>PST148</t>
  </si>
  <si>
    <t xml:space="preserve">DRY STORES - Rice </t>
  </si>
  <si>
    <t>RIC078</t>
  </si>
  <si>
    <t>Brown Basmati Rice</t>
  </si>
  <si>
    <t>RIC030</t>
  </si>
  <si>
    <t>Laila Basmati Rice</t>
  </si>
  <si>
    <t>RIC046</t>
  </si>
  <si>
    <t>RIC031</t>
  </si>
  <si>
    <t>RIC036</t>
  </si>
  <si>
    <t>RIC083</t>
  </si>
  <si>
    <t>Yutaka Brown Rice</t>
  </si>
  <si>
    <t>RIC045</t>
  </si>
  <si>
    <t>RIC019</t>
  </si>
  <si>
    <t>RIC060</t>
  </si>
  <si>
    <t>Tolly Boy Easy Cook Rice</t>
  </si>
  <si>
    <t>Brown Easy Cook Rice</t>
  </si>
  <si>
    <t>RIC053</t>
  </si>
  <si>
    <t>HorseShoe Jasmine Rice</t>
  </si>
  <si>
    <t>RIC077</t>
  </si>
  <si>
    <t>Kintaro Sushi Rice</t>
  </si>
  <si>
    <t>CRP092</t>
  </si>
  <si>
    <t>60x200g</t>
  </si>
  <si>
    <t>CRP095</t>
  </si>
  <si>
    <t>Prawn Crackers</t>
  </si>
  <si>
    <t>6x2KG</t>
  </si>
  <si>
    <t>PIZ199</t>
  </si>
  <si>
    <t>Pizza Flour</t>
  </si>
  <si>
    <t>1x16KG</t>
  </si>
  <si>
    <t>DRY STORES - Flour</t>
  </si>
  <si>
    <t>FLO016</t>
  </si>
  <si>
    <t xml:space="preserve">Plain Flour </t>
  </si>
  <si>
    <t>FLO030</t>
  </si>
  <si>
    <t>5x1.5KG</t>
  </si>
  <si>
    <t>FLO124</t>
  </si>
  <si>
    <t>FLO031</t>
  </si>
  <si>
    <t>Mix 'N' Bake Self Raising Flour</t>
  </si>
  <si>
    <t>Wright's Self Raising Flour</t>
  </si>
  <si>
    <t>FLO024</t>
  </si>
  <si>
    <t>Corn Flour</t>
  </si>
  <si>
    <t>FLO115</t>
  </si>
  <si>
    <t>Peacock Rice Flour</t>
  </si>
  <si>
    <t>MIS065</t>
  </si>
  <si>
    <t xml:space="preserve">Fermipan Instant Yeast </t>
  </si>
  <si>
    <t>PIZ065</t>
  </si>
  <si>
    <t>Pizza Improver</t>
  </si>
  <si>
    <t>FLO015</t>
  </si>
  <si>
    <t>Pancake Mix</t>
  </si>
  <si>
    <t>1x12.5KG</t>
  </si>
  <si>
    <t>SAU093</t>
  </si>
  <si>
    <t>Cocoa Powder</t>
  </si>
  <si>
    <t>VEG007</t>
  </si>
  <si>
    <t>VEG205</t>
  </si>
  <si>
    <t xml:space="preserve">Vine Tomatoes </t>
  </si>
  <si>
    <t>VEG783</t>
  </si>
  <si>
    <t>VEGL778</t>
  </si>
  <si>
    <t>VEG782</t>
  </si>
  <si>
    <t>VEG712</t>
  </si>
  <si>
    <t>VEG476</t>
  </si>
  <si>
    <t>VEG793</t>
  </si>
  <si>
    <t>VEG011</t>
  </si>
  <si>
    <t xml:space="preserve">White cabbages </t>
  </si>
  <si>
    <t>VEG817</t>
  </si>
  <si>
    <t>VEG001</t>
  </si>
  <si>
    <t xml:space="preserve">Red Cabbages </t>
  </si>
  <si>
    <t>VEG816</t>
  </si>
  <si>
    <t>VEG017</t>
  </si>
  <si>
    <t xml:space="preserve">Cucumbers </t>
  </si>
  <si>
    <t>VEG756</t>
  </si>
  <si>
    <t>VEG668</t>
  </si>
  <si>
    <t>VEG789</t>
  </si>
  <si>
    <t xml:space="preserve">Chinese Leaf </t>
  </si>
  <si>
    <t>VEG605</t>
  </si>
  <si>
    <t xml:space="preserve">Loose Green Peppers </t>
  </si>
  <si>
    <t>VEG703</t>
  </si>
  <si>
    <t xml:space="preserve">Loose Red Peppers </t>
  </si>
  <si>
    <t>VEG755</t>
  </si>
  <si>
    <t xml:space="preserve">Loose yellow Peppers </t>
  </si>
  <si>
    <t>VEG026</t>
  </si>
  <si>
    <t>VEG206</t>
  </si>
  <si>
    <t xml:space="preserve">Pointed Red Peppers </t>
  </si>
  <si>
    <t>VEG750</t>
  </si>
  <si>
    <t xml:space="preserve">Long Peppers </t>
  </si>
  <si>
    <t>VEG813</t>
  </si>
  <si>
    <t xml:space="preserve">Sivri Peppers </t>
  </si>
  <si>
    <t>VEG877</t>
  </si>
  <si>
    <t>VEG146</t>
  </si>
  <si>
    <t>1x6KG</t>
  </si>
  <si>
    <t>VEG751</t>
  </si>
  <si>
    <t>Red Chilli Peppers</t>
  </si>
  <si>
    <t>VEG765</t>
  </si>
  <si>
    <t>Green Chilli Peppers</t>
  </si>
  <si>
    <t>VEG760</t>
  </si>
  <si>
    <t xml:space="preserve">Carrots </t>
  </si>
  <si>
    <t>VEG887</t>
  </si>
  <si>
    <t>VEG012</t>
  </si>
  <si>
    <t>Cup Mushrooms</t>
  </si>
  <si>
    <t>VEG774</t>
  </si>
  <si>
    <t xml:space="preserve">Chestnut Mushroom </t>
  </si>
  <si>
    <t>VEG879</t>
  </si>
  <si>
    <t>Button Mushroom</t>
  </si>
  <si>
    <t>VEG881</t>
  </si>
  <si>
    <t>VEG259</t>
  </si>
  <si>
    <t xml:space="preserve">Spanish Large Onions </t>
  </si>
  <si>
    <t>VEG701</t>
  </si>
  <si>
    <t xml:space="preserve">Red Onions </t>
  </si>
  <si>
    <t>VEG490</t>
  </si>
  <si>
    <t>VEG759</t>
  </si>
  <si>
    <t>VEG696</t>
  </si>
  <si>
    <t xml:space="preserve">Brown Cooking onions </t>
  </si>
  <si>
    <t>VEG655</t>
  </si>
  <si>
    <t>VEG402</t>
  </si>
  <si>
    <t>Spring Onion bunches</t>
  </si>
  <si>
    <t>VEG882</t>
  </si>
  <si>
    <t>VEG784</t>
  </si>
  <si>
    <t>VEG786</t>
  </si>
  <si>
    <t>VEG787</t>
  </si>
  <si>
    <t>VEG024</t>
  </si>
  <si>
    <t>Aubergines</t>
  </si>
  <si>
    <t>VEG025</t>
  </si>
  <si>
    <t xml:space="preserve">Courgettes </t>
  </si>
  <si>
    <t>VEG377</t>
  </si>
  <si>
    <t xml:space="preserve">Celery </t>
  </si>
  <si>
    <t>VEG886</t>
  </si>
  <si>
    <t>Pak Choi</t>
  </si>
  <si>
    <t>Cauliflower</t>
  </si>
  <si>
    <t>Leeks</t>
  </si>
  <si>
    <t>VEG198</t>
  </si>
  <si>
    <t>VEG809</t>
  </si>
  <si>
    <t>VEG193</t>
  </si>
  <si>
    <t>Dices Peppers</t>
  </si>
  <si>
    <t xml:space="preserve">Diced Peppers </t>
  </si>
  <si>
    <t xml:space="preserve">Diced carrots </t>
  </si>
  <si>
    <t>VEG509</t>
  </si>
  <si>
    <t>VEG194</t>
  </si>
  <si>
    <t xml:space="preserve">Baby carrots </t>
  </si>
  <si>
    <t>VEG501</t>
  </si>
  <si>
    <t xml:space="preserve">Baby Carrots </t>
  </si>
  <si>
    <t>VEG504</t>
  </si>
  <si>
    <t xml:space="preserve">Sliced Carrots </t>
  </si>
  <si>
    <t>VEG318</t>
  </si>
  <si>
    <t>Leaf Spinach</t>
  </si>
  <si>
    <t>VEG634</t>
  </si>
  <si>
    <t>Chopped Spinach portions</t>
  </si>
  <si>
    <t>VEG027</t>
  </si>
  <si>
    <t>Corn On The Cob</t>
  </si>
  <si>
    <t>bag of 48</t>
  </si>
  <si>
    <t xml:space="preserve">VEG200 </t>
  </si>
  <si>
    <t xml:space="preserve">Sweetcorn </t>
  </si>
  <si>
    <t>VEG505</t>
  </si>
  <si>
    <t>VEG192</t>
  </si>
  <si>
    <t>VEG507</t>
  </si>
  <si>
    <t>1x2.5</t>
  </si>
  <si>
    <t>VEG321</t>
  </si>
  <si>
    <t xml:space="preserve">Sliced Onions </t>
  </si>
  <si>
    <t>VEG201</t>
  </si>
  <si>
    <t>Choice Peas</t>
  </si>
  <si>
    <t>VEG497</t>
  </si>
  <si>
    <t>VEG334</t>
  </si>
  <si>
    <t xml:space="preserve">Button Sprouts </t>
  </si>
  <si>
    <t>VEG635</t>
  </si>
  <si>
    <t xml:space="preserve">Cut green Beans </t>
  </si>
  <si>
    <t>VEG191</t>
  </si>
  <si>
    <t xml:space="preserve">Sliced Green Beans </t>
  </si>
  <si>
    <t xml:space="preserve">Broccoli </t>
  </si>
  <si>
    <t>VEG502</t>
  </si>
  <si>
    <t>VEG219</t>
  </si>
  <si>
    <t>Diced Swedes</t>
  </si>
  <si>
    <t>VEG503</t>
  </si>
  <si>
    <t xml:space="preserve">Mixed Vegetables </t>
  </si>
  <si>
    <t>VEG496</t>
  </si>
  <si>
    <t>VEG197</t>
  </si>
  <si>
    <t>Floret Mix</t>
  </si>
  <si>
    <t>VEG329</t>
  </si>
  <si>
    <t>Stew Pack</t>
  </si>
  <si>
    <t>FRU097</t>
  </si>
  <si>
    <t xml:space="preserve">Blackberries </t>
  </si>
  <si>
    <t>1x450g</t>
  </si>
  <si>
    <t>Raspberries</t>
  </si>
  <si>
    <t>FRU099</t>
  </si>
  <si>
    <t>FRU100</t>
  </si>
  <si>
    <t>Summer Fruits</t>
  </si>
  <si>
    <t>FRU268</t>
  </si>
  <si>
    <t>Strawberries</t>
  </si>
  <si>
    <t>CHE142</t>
  </si>
  <si>
    <t>1x112</t>
  </si>
  <si>
    <t>CHE144</t>
  </si>
  <si>
    <t>CHE036</t>
  </si>
  <si>
    <t>CHE035</t>
  </si>
  <si>
    <t>SpinneyField Mild Cheddar Slices</t>
  </si>
  <si>
    <t>CHE092</t>
  </si>
  <si>
    <t>Vittorios Grated Cheddar</t>
  </si>
  <si>
    <t>CHE124</t>
  </si>
  <si>
    <t>Arla Grated Mozzarella Cheese</t>
  </si>
  <si>
    <t>CHE148</t>
  </si>
  <si>
    <t>Kerrymaid Grated White Cheese</t>
  </si>
  <si>
    <t>CHE093</t>
  </si>
  <si>
    <t>CHE116</t>
  </si>
  <si>
    <t>CHE182</t>
  </si>
  <si>
    <t>Full Fat Soft Cream Cheese</t>
  </si>
  <si>
    <t>CHE259</t>
  </si>
  <si>
    <t xml:space="preserve">Pure Shredded Mozzarella </t>
  </si>
  <si>
    <t>CHE056</t>
  </si>
  <si>
    <t>Grated Parmesan Cheese</t>
  </si>
  <si>
    <t>CHE180</t>
  </si>
  <si>
    <t>Greek Feta Cheese</t>
  </si>
  <si>
    <t>CHE181</t>
  </si>
  <si>
    <t xml:space="preserve">Cyprus Style </t>
  </si>
  <si>
    <t>5x200g</t>
  </si>
  <si>
    <t>CHE118</t>
  </si>
  <si>
    <t>CHE149</t>
  </si>
  <si>
    <t>Gonendere halloumi Cheese</t>
  </si>
  <si>
    <t>CHE018</t>
  </si>
  <si>
    <t xml:space="preserve">Grated Pizza Cheese </t>
  </si>
  <si>
    <t xml:space="preserve">Mixed Mozzarella and Cheddar </t>
  </si>
  <si>
    <t>CHE187</t>
  </si>
  <si>
    <t>DAI005</t>
  </si>
  <si>
    <t>1x2L</t>
  </si>
  <si>
    <t>DAI006</t>
  </si>
  <si>
    <t>DAI120</t>
  </si>
  <si>
    <t>DAI143</t>
  </si>
  <si>
    <t xml:space="preserve">Soya Milk </t>
  </si>
  <si>
    <t>DAI145</t>
  </si>
  <si>
    <t>Organic Soya Milk (Unsweetened)</t>
  </si>
  <si>
    <t>DAI183</t>
  </si>
  <si>
    <t xml:space="preserve">Coconut Milk </t>
  </si>
  <si>
    <t>DAI002</t>
  </si>
  <si>
    <t>Milk Portions</t>
  </si>
  <si>
    <t>1x120</t>
  </si>
  <si>
    <t>DAI003</t>
  </si>
  <si>
    <t>CRE010</t>
  </si>
  <si>
    <t>CRE016</t>
  </si>
  <si>
    <t xml:space="preserve">Double Cream Alternative </t>
  </si>
  <si>
    <t>FRESH. Butter &amp; Ghee</t>
  </si>
  <si>
    <t xml:space="preserve">FRESH. Milk &amp; Cream </t>
  </si>
  <si>
    <t>FROZEN Garlic Pure</t>
  </si>
  <si>
    <t xml:space="preserve">FROZEN. Vegetables &amp; Fruits </t>
  </si>
  <si>
    <t xml:space="preserve">FRESH Flat Leaf Parsley </t>
  </si>
  <si>
    <t>FRESH Mint Bunches</t>
  </si>
  <si>
    <t>FRESH Sweet Potatoes</t>
  </si>
  <si>
    <t xml:space="preserve">FRESH Garlic </t>
  </si>
  <si>
    <t>FRESH Ginger</t>
  </si>
  <si>
    <t>FRESH Spinach</t>
  </si>
  <si>
    <t xml:space="preserve">FRESH Lemons </t>
  </si>
  <si>
    <t xml:space="preserve">FRESH Limes </t>
  </si>
  <si>
    <t xml:space="preserve">FRESH Semi Skimmed milk  </t>
  </si>
  <si>
    <t xml:space="preserve">FRESH Skimmed Milk </t>
  </si>
  <si>
    <t>SAN015</t>
  </si>
  <si>
    <t>6.2g each</t>
  </si>
  <si>
    <t>SAN019</t>
  </si>
  <si>
    <t>LakeLand Salted Butter blocks</t>
  </si>
  <si>
    <t>SAN128</t>
  </si>
  <si>
    <t>LakeLand Unsalted Butter Blocks</t>
  </si>
  <si>
    <t>20x250g</t>
  </si>
  <si>
    <t>SPR015</t>
  </si>
  <si>
    <t>Butter Tub</t>
  </si>
  <si>
    <t>DAI180</t>
  </si>
  <si>
    <t>10% FAT</t>
  </si>
  <si>
    <t>DAI181</t>
  </si>
  <si>
    <t>DAI125</t>
  </si>
  <si>
    <t>DAI147</t>
  </si>
  <si>
    <t xml:space="preserve">FRESH. yoghurt </t>
  </si>
  <si>
    <t xml:space="preserve">Set yoghurt </t>
  </si>
  <si>
    <t xml:space="preserve">Natural Set yoghurt  </t>
  </si>
  <si>
    <t xml:space="preserve">Strained Yoghurt </t>
  </si>
  <si>
    <t>DAI074</t>
  </si>
  <si>
    <t>3.5% FAT</t>
  </si>
  <si>
    <t>DAI004</t>
  </si>
  <si>
    <t>DAI112</t>
  </si>
  <si>
    <t>Natural Low Fat Yoghurt</t>
  </si>
  <si>
    <t>DRK356</t>
  </si>
  <si>
    <t>Ayran bottles</t>
  </si>
  <si>
    <t>FRESH. EGGS</t>
  </si>
  <si>
    <t>EGG011</t>
  </si>
  <si>
    <t>Medium Eggs</t>
  </si>
  <si>
    <t>EGG008</t>
  </si>
  <si>
    <t xml:space="preserve">Free Range Eggs </t>
  </si>
  <si>
    <t>MIS011</t>
  </si>
  <si>
    <t>FRESH. Cheese</t>
  </si>
  <si>
    <t>DRY STORES - Oils</t>
  </si>
  <si>
    <t>OIL114</t>
  </si>
  <si>
    <t>Vegetable Cooking Oil</t>
  </si>
  <si>
    <t>OIL072</t>
  </si>
  <si>
    <t>KTC Vegetable cooking Oi;</t>
  </si>
  <si>
    <t>OIL006</t>
  </si>
  <si>
    <t xml:space="preserve">Butter Flavouring </t>
  </si>
  <si>
    <t>1x4L</t>
  </si>
  <si>
    <t>OIL037</t>
  </si>
  <si>
    <t>Sunflower Oil</t>
  </si>
  <si>
    <t>OIL112</t>
  </si>
  <si>
    <t>High Oleic Sunflower Oil</t>
  </si>
  <si>
    <t>OIL068</t>
  </si>
  <si>
    <t>OIL062</t>
  </si>
  <si>
    <t>Extra Virgin Olive Oil</t>
  </si>
  <si>
    <t>OIL058</t>
  </si>
  <si>
    <t>FRESH. Fruits</t>
  </si>
  <si>
    <t>FRU007</t>
  </si>
  <si>
    <t>FRU008</t>
  </si>
  <si>
    <t>FRU009</t>
  </si>
  <si>
    <t>FRU013</t>
  </si>
  <si>
    <t>FRU015</t>
  </si>
  <si>
    <t>FRU014</t>
  </si>
  <si>
    <t>FRU016</t>
  </si>
  <si>
    <t>FRU017</t>
  </si>
  <si>
    <t>FRU018</t>
  </si>
  <si>
    <t>FRU019</t>
  </si>
  <si>
    <t>FRU020</t>
  </si>
  <si>
    <t>Red Apples</t>
  </si>
  <si>
    <t>Green Apples</t>
  </si>
  <si>
    <t>FRU002</t>
  </si>
  <si>
    <t>FRU003</t>
  </si>
  <si>
    <t xml:space="preserve">Bananas </t>
  </si>
  <si>
    <t>Blueberries</t>
  </si>
  <si>
    <t>Green Grapes</t>
  </si>
  <si>
    <t>Mandarin</t>
  </si>
  <si>
    <t xml:space="preserve">Medium Oranges </t>
  </si>
  <si>
    <t>Avocados</t>
  </si>
  <si>
    <t>1x12</t>
  </si>
  <si>
    <t xml:space="preserve">Honeydew Melon </t>
  </si>
  <si>
    <t>1x1</t>
  </si>
  <si>
    <t>FRU021</t>
  </si>
  <si>
    <t>FRU022</t>
  </si>
  <si>
    <t>FRU023</t>
  </si>
  <si>
    <t>FRU024</t>
  </si>
  <si>
    <t>FRU025</t>
  </si>
  <si>
    <t>FRU026</t>
  </si>
  <si>
    <t>FRU027</t>
  </si>
  <si>
    <t>Watermelon</t>
  </si>
  <si>
    <t>Coconut</t>
  </si>
  <si>
    <t xml:space="preserve">KIWI </t>
  </si>
  <si>
    <t>Pineapple</t>
  </si>
  <si>
    <t>Papaya</t>
  </si>
  <si>
    <t>Pears</t>
  </si>
  <si>
    <t>Pomegranates</t>
  </si>
  <si>
    <t>FRU028</t>
  </si>
  <si>
    <t>Plums</t>
  </si>
  <si>
    <t>ITEM CODE</t>
  </si>
  <si>
    <t>DISCRIPTION</t>
  </si>
  <si>
    <t>SPR042</t>
  </si>
  <si>
    <t xml:space="preserve">Rowse Honey </t>
  </si>
  <si>
    <t>1x3.17KG</t>
  </si>
  <si>
    <t>JAM001</t>
  </si>
  <si>
    <t>JAM026</t>
  </si>
  <si>
    <t>72x28g</t>
  </si>
  <si>
    <t>JAM027</t>
  </si>
  <si>
    <t>TipTree Black Currant Preserve</t>
  </si>
  <si>
    <t>TipTree Strawberry Preserve</t>
  </si>
  <si>
    <t>JAM028</t>
  </si>
  <si>
    <t>TipTree Apricot Preserve</t>
  </si>
  <si>
    <t>JAM029</t>
  </si>
  <si>
    <t>TipTree Orange Fine Cut Peel</t>
  </si>
  <si>
    <t>JAM031</t>
  </si>
  <si>
    <t>SAN031</t>
  </si>
  <si>
    <t>Nutella Hazelnut Spread</t>
  </si>
  <si>
    <t>1x750g</t>
  </si>
  <si>
    <t>MIS147</t>
  </si>
  <si>
    <t xml:space="preserve">Marmite Yeast Extract </t>
  </si>
  <si>
    <t>SNA248</t>
  </si>
  <si>
    <t xml:space="preserve">FROZEN. Potato Products </t>
  </si>
  <si>
    <t>4x2.27KG</t>
  </si>
  <si>
    <t>CHP121</t>
  </si>
  <si>
    <t>CHP152</t>
  </si>
  <si>
    <t>3/8 Super Crisp Chips</t>
  </si>
  <si>
    <t>7/16 Super Crisp Chips</t>
  </si>
  <si>
    <t>Thickness: 12mm</t>
  </si>
  <si>
    <t>Thickness: 9mm</t>
  </si>
  <si>
    <t>CHP153</t>
  </si>
  <si>
    <t>9/16 Super Crisp Chips</t>
  </si>
  <si>
    <t>Thickness: 14mm</t>
  </si>
  <si>
    <t>CHP138</t>
  </si>
  <si>
    <t>Super Crisp Steak Cut Chips</t>
  </si>
  <si>
    <t>Thickness: 18mm</t>
  </si>
  <si>
    <t>CHP097</t>
  </si>
  <si>
    <t xml:space="preserve">Hash Browns </t>
  </si>
  <si>
    <t>CHP142</t>
  </si>
  <si>
    <t>Spicy Wedges</t>
  </si>
  <si>
    <t>Baking Potatoes</t>
  </si>
  <si>
    <t>VEG122</t>
  </si>
  <si>
    <t>VEG093</t>
  </si>
  <si>
    <t>Bakery - Bread, Buns</t>
  </si>
  <si>
    <t>BRE061</t>
  </si>
  <si>
    <t xml:space="preserve">Soft White Bread </t>
  </si>
  <si>
    <t>BRE063</t>
  </si>
  <si>
    <t>Wholemeal Bread</t>
  </si>
  <si>
    <t>BRE339</t>
  </si>
  <si>
    <t>BRE255</t>
  </si>
  <si>
    <t>50x125g</t>
  </si>
  <si>
    <t>BRE353</t>
  </si>
  <si>
    <t>BRE071</t>
  </si>
  <si>
    <t>30x125g</t>
  </si>
  <si>
    <t>BRE338</t>
  </si>
  <si>
    <t>Part Baked Ciabattas</t>
  </si>
  <si>
    <t>58x125g</t>
  </si>
  <si>
    <t>BRE352</t>
  </si>
  <si>
    <t>Fully Baked Ciabattas</t>
  </si>
  <si>
    <t>BRE017</t>
  </si>
  <si>
    <t>Burger Buns</t>
  </si>
  <si>
    <t>Different sizes available 4" 4.5" 5"</t>
  </si>
  <si>
    <t>BRE296</t>
  </si>
  <si>
    <t>BRE307</t>
  </si>
  <si>
    <t>6x12</t>
  </si>
  <si>
    <t>BRE068</t>
  </si>
  <si>
    <t>Part Baked Garlic Bread Slices</t>
  </si>
  <si>
    <t>BRE219</t>
  </si>
  <si>
    <t>Ready To Bake</t>
  </si>
  <si>
    <t xml:space="preserve">Frozen. Ice Cream </t>
  </si>
  <si>
    <t>ICE133</t>
  </si>
  <si>
    <t>Soft Scoop Ice Cream Tub</t>
  </si>
  <si>
    <t xml:space="preserve">Chocolate, Vanilla Or Strawberry </t>
  </si>
  <si>
    <t>ICE051</t>
  </si>
  <si>
    <t xml:space="preserve">Fruit Ice Smoothie </t>
  </si>
  <si>
    <t>60x80ml</t>
  </si>
  <si>
    <t>ICE057</t>
  </si>
  <si>
    <t xml:space="preserve">Space Runner Ice Lollies </t>
  </si>
  <si>
    <t>1x30</t>
  </si>
  <si>
    <t>DRY STORES - Crisps &amp; Snacks</t>
  </si>
  <si>
    <t>CRP148</t>
  </si>
  <si>
    <t>32x32.5g</t>
  </si>
  <si>
    <t>CRP152</t>
  </si>
  <si>
    <t>Walkers Ready Salted Crisps</t>
  </si>
  <si>
    <t>CRP154</t>
  </si>
  <si>
    <t xml:space="preserve">Walkers Cheese &amp; Onion Crisps </t>
  </si>
  <si>
    <t>CRP155</t>
  </si>
  <si>
    <t>Walkers Prawn Cocktail Crisps</t>
  </si>
  <si>
    <t>CRP153</t>
  </si>
  <si>
    <t>Walkers Quavers Cheese Crisps</t>
  </si>
  <si>
    <t>32x20g</t>
  </si>
  <si>
    <t>SNA261</t>
  </si>
  <si>
    <t>Proper Corn Sea Salted Popcorn</t>
  </si>
  <si>
    <t>24x20g</t>
  </si>
  <si>
    <t>SNA257</t>
  </si>
  <si>
    <t>Proper Corn Sweet &amp; Salty Popcorn</t>
  </si>
  <si>
    <t xml:space="preserve">DRY STORES - Chocolate &amp; Biscuits </t>
  </si>
  <si>
    <t>CHO042</t>
  </si>
  <si>
    <t>M&amp;M's Peanut</t>
  </si>
  <si>
    <t>24x45g</t>
  </si>
  <si>
    <t>CHO022</t>
  </si>
  <si>
    <t>Bounty Chocolate Bars</t>
  </si>
  <si>
    <t>24x57g</t>
  </si>
  <si>
    <t>CHO040</t>
  </si>
  <si>
    <t>Galaxy Smooth Milk Chocolate</t>
  </si>
  <si>
    <t>24x42g</t>
  </si>
  <si>
    <t>CHO062</t>
  </si>
  <si>
    <t>Twix Chocolate Bars</t>
  </si>
  <si>
    <t>32x50g</t>
  </si>
  <si>
    <t>CHO016</t>
  </si>
  <si>
    <t>Mars Chocolate Bars</t>
  </si>
  <si>
    <t>48x51g</t>
  </si>
  <si>
    <t>CHO017</t>
  </si>
  <si>
    <t>Snickers Chocolate Bars</t>
  </si>
  <si>
    <t>48x48g</t>
  </si>
  <si>
    <t>CHO024</t>
  </si>
  <si>
    <t>Maltesers</t>
  </si>
  <si>
    <t>40x37g</t>
  </si>
  <si>
    <t>CHO060</t>
  </si>
  <si>
    <t xml:space="preserve">Ferrero Rocher T3 </t>
  </si>
  <si>
    <t>16x37.5g</t>
  </si>
  <si>
    <t>CHO061</t>
  </si>
  <si>
    <t>Kinder Bueno Classic Chocolate Bars</t>
  </si>
  <si>
    <t>T2x30</t>
  </si>
  <si>
    <t>CHO105</t>
  </si>
  <si>
    <t xml:space="preserve">Mars Duo </t>
  </si>
  <si>
    <t>CHO077</t>
  </si>
  <si>
    <t>Twix Xtra Twin</t>
  </si>
  <si>
    <t>24x75g</t>
  </si>
  <si>
    <t>CHO102</t>
  </si>
  <si>
    <t>M&amp;M's Peanut Pouch</t>
  </si>
  <si>
    <t>CHO104</t>
  </si>
  <si>
    <t>Maltesers Pouch</t>
  </si>
  <si>
    <t>13x93g</t>
  </si>
  <si>
    <t>CHO106</t>
  </si>
  <si>
    <t>Snickers Duo</t>
  </si>
  <si>
    <t xml:space="preserve">Oreo original </t>
  </si>
  <si>
    <t>20x66g</t>
  </si>
  <si>
    <t>CRP073</t>
  </si>
  <si>
    <t>Jacob's Baked Mini Cheddar original</t>
  </si>
  <si>
    <t>30x50g</t>
  </si>
  <si>
    <t>SNA295</t>
  </si>
  <si>
    <t>Jacob's Cream Crackers</t>
  </si>
  <si>
    <t>Hygiene</t>
  </si>
  <si>
    <t>MEA197</t>
  </si>
  <si>
    <t>MEA245</t>
  </si>
  <si>
    <t>MEA252</t>
  </si>
  <si>
    <t>MEA009</t>
  </si>
  <si>
    <t>MEA034</t>
  </si>
  <si>
    <t>MEA191</t>
  </si>
  <si>
    <t>MEA360</t>
  </si>
  <si>
    <t>MEA159</t>
  </si>
  <si>
    <t>MEA169</t>
  </si>
  <si>
    <t>MEA243</t>
  </si>
  <si>
    <t>MEA290</t>
  </si>
  <si>
    <t>MEA355</t>
  </si>
  <si>
    <t>MEA356</t>
  </si>
  <si>
    <t>MEA341</t>
  </si>
  <si>
    <t>MEA324</t>
  </si>
  <si>
    <t>MEA340</t>
  </si>
  <si>
    <t>CHI343</t>
  </si>
  <si>
    <t>10x1.6KG</t>
  </si>
  <si>
    <t>CHI369</t>
  </si>
  <si>
    <t>CHI438</t>
  </si>
  <si>
    <t>2x5KG</t>
  </si>
  <si>
    <t>CHI306</t>
  </si>
  <si>
    <t>CHI392</t>
  </si>
  <si>
    <t>CHI556</t>
  </si>
  <si>
    <t>CHI406</t>
  </si>
  <si>
    <t>CHI404</t>
  </si>
  <si>
    <t>CHI543</t>
  </si>
  <si>
    <t>CHI473</t>
  </si>
  <si>
    <t>CHI474</t>
  </si>
  <si>
    <t>CHI570</t>
  </si>
  <si>
    <t>CHI388</t>
  </si>
  <si>
    <t>CHI251</t>
  </si>
  <si>
    <t>CHI425</t>
  </si>
  <si>
    <t>CHI426</t>
  </si>
  <si>
    <t>CHI476</t>
  </si>
  <si>
    <t>CHI002</t>
  </si>
  <si>
    <t>Battered Chicken Nuggets</t>
  </si>
  <si>
    <t>FSH260</t>
  </si>
  <si>
    <t>3x6.81KG</t>
  </si>
  <si>
    <t>5-8OZ</t>
  </si>
  <si>
    <t>FSH239</t>
  </si>
  <si>
    <t>8-16OZ</t>
  </si>
  <si>
    <t>FSH240</t>
  </si>
  <si>
    <t>16-32OZ</t>
  </si>
  <si>
    <t>32+ OZ</t>
  </si>
  <si>
    <t>FSH241</t>
  </si>
  <si>
    <t>FSH242</t>
  </si>
  <si>
    <t>FSH423</t>
  </si>
  <si>
    <t>9-11OZ</t>
  </si>
  <si>
    <t>FSH274</t>
  </si>
  <si>
    <t>2x9KG</t>
  </si>
  <si>
    <t>FSH324</t>
  </si>
  <si>
    <t>3x9KG</t>
  </si>
  <si>
    <t>FSH311</t>
  </si>
  <si>
    <t>FSH350</t>
  </si>
  <si>
    <t>FSH351</t>
  </si>
  <si>
    <t>FSH291</t>
  </si>
  <si>
    <t xml:space="preserve">Whole Sea Bass Gilled &amp; Gutted </t>
  </si>
  <si>
    <t>Whole Sea Bream Gilled &amp; Gutted</t>
  </si>
  <si>
    <t>FSH372</t>
  </si>
  <si>
    <t>FSH410</t>
  </si>
  <si>
    <t>Skinless &amp; Boneless Pollock Fillets</t>
  </si>
  <si>
    <t>FSH730</t>
  </si>
  <si>
    <t>Boneless Plaice Fillets</t>
  </si>
  <si>
    <t>8-10OZ</t>
  </si>
  <si>
    <t>FSH383</t>
  </si>
  <si>
    <t>Skinless &amp; boneless Pangasius Fillets</t>
  </si>
  <si>
    <t>10x1KG</t>
  </si>
  <si>
    <t>FSH399</t>
  </si>
  <si>
    <t xml:space="preserve">Skinless &amp; Boneless Tilapia Fillets </t>
  </si>
  <si>
    <t>5x1KG</t>
  </si>
  <si>
    <t>5-7OZ</t>
  </si>
  <si>
    <t>Skin on Cod Fillets</t>
  </si>
  <si>
    <t>Skinless Cod Fillets</t>
  </si>
  <si>
    <t>Skin on Haddock Fillets</t>
  </si>
  <si>
    <t xml:space="preserve">Skinless Haddock Fillets </t>
  </si>
  <si>
    <t>FSH090</t>
  </si>
  <si>
    <t>1x454g</t>
  </si>
  <si>
    <t>FSH403</t>
  </si>
  <si>
    <t>Skinless &amp; Boneless Salmon Portions</t>
  </si>
  <si>
    <t>FSH404</t>
  </si>
  <si>
    <t>Skin on &amp; Boneless Salmon Portions</t>
  </si>
  <si>
    <t>FSH580</t>
  </si>
  <si>
    <t xml:space="preserve">Whole Skinless &amp; Boneless Salmon Fillets </t>
  </si>
  <si>
    <t>FSH405</t>
  </si>
  <si>
    <t>Cold Smoked Salmon Fillets</t>
  </si>
  <si>
    <t>FSH295</t>
  </si>
  <si>
    <t>Cleaned Squids with Tentacles</t>
  </si>
  <si>
    <t>FSH226</t>
  </si>
  <si>
    <t>Scallops</t>
  </si>
  <si>
    <t>FSH310</t>
  </si>
  <si>
    <t>Mussels</t>
  </si>
  <si>
    <t xml:space="preserve">Headless Shell on King Prawns </t>
  </si>
  <si>
    <t>6x1.4KG</t>
  </si>
  <si>
    <t>FSH293</t>
  </si>
  <si>
    <t>Raw Black Tiger Prawns</t>
  </si>
  <si>
    <t>FSH145</t>
  </si>
  <si>
    <t>FSH452</t>
  </si>
  <si>
    <t>Raw Vannamei Prawns</t>
  </si>
  <si>
    <t>HYG305</t>
  </si>
  <si>
    <t>HYG423</t>
  </si>
  <si>
    <t>Washing Up Powder</t>
  </si>
  <si>
    <t>Fabric Conditioner</t>
  </si>
  <si>
    <t>HYG303</t>
  </si>
  <si>
    <t xml:space="preserve">Washing Up Liquid </t>
  </si>
  <si>
    <t>HYG029</t>
  </si>
  <si>
    <t>HYG128</t>
  </si>
  <si>
    <t>Auto Dishwasher Liquid</t>
  </si>
  <si>
    <t>HYG429</t>
  </si>
  <si>
    <t xml:space="preserve">Multi-Action Spray </t>
  </si>
  <si>
    <t>HYG307</t>
  </si>
  <si>
    <t>HYG089</t>
  </si>
  <si>
    <t>Rinse Aid</t>
  </si>
  <si>
    <t>HYG058</t>
  </si>
  <si>
    <t xml:space="preserve">Heavy Duty Kitchen Degreaser </t>
  </si>
  <si>
    <t>HYG022</t>
  </si>
  <si>
    <t>Powder Degreaser</t>
  </si>
  <si>
    <t>HYG080</t>
  </si>
  <si>
    <t xml:space="preserve">Kitchen Cleaner </t>
  </si>
  <si>
    <t>HYG336</t>
  </si>
  <si>
    <t>6x750ml</t>
  </si>
  <si>
    <t>HYG342</t>
  </si>
  <si>
    <t>Floor Cleaner</t>
  </si>
  <si>
    <t>HYG086</t>
  </si>
  <si>
    <t>Floor Gel</t>
  </si>
  <si>
    <t>HYG025</t>
  </si>
  <si>
    <t xml:space="preserve">Hard Surface Cleaner </t>
  </si>
  <si>
    <t>HYG084</t>
  </si>
  <si>
    <t>Oven Cleaner</t>
  </si>
  <si>
    <t>HYG057</t>
  </si>
  <si>
    <t xml:space="preserve">Glass &amp; Window Cleaner </t>
  </si>
  <si>
    <t>HYG087</t>
  </si>
  <si>
    <t xml:space="preserve">Sanitising Detergent </t>
  </si>
  <si>
    <t>HYG055</t>
  </si>
  <si>
    <t>Caustic Soda</t>
  </si>
  <si>
    <t>Antibacterial Hand Soap</t>
  </si>
  <si>
    <t>HYG094</t>
  </si>
  <si>
    <t>HYG186</t>
  </si>
  <si>
    <t>HYG347</t>
  </si>
  <si>
    <t>Soft Serviettes</t>
  </si>
  <si>
    <t>5x500</t>
  </si>
  <si>
    <t>HYG069</t>
  </si>
  <si>
    <t>Dispenser Serviettes</t>
  </si>
  <si>
    <t>24x250</t>
  </si>
  <si>
    <t>HYG071</t>
  </si>
  <si>
    <t>Kitchen Towels</t>
  </si>
  <si>
    <t>HYG161</t>
  </si>
  <si>
    <t>Centrefold Hand Towels</t>
  </si>
  <si>
    <t>15x176</t>
  </si>
  <si>
    <t>Blue Roll</t>
  </si>
  <si>
    <t>HYG158</t>
  </si>
  <si>
    <t>1x6</t>
  </si>
  <si>
    <t>HYG003</t>
  </si>
  <si>
    <t>White Roll</t>
  </si>
  <si>
    <t>HYG345</t>
  </si>
  <si>
    <t>HYG072</t>
  </si>
  <si>
    <t>Toilet Tissue Rolls</t>
  </si>
  <si>
    <t>HYG144</t>
  </si>
  <si>
    <t>Disposable Blue Gloves</t>
  </si>
  <si>
    <t>HYG152</t>
  </si>
  <si>
    <t>All Purpose Cloth on a Roll</t>
  </si>
  <si>
    <t xml:space="preserve">100 Yellow Sheets </t>
  </si>
  <si>
    <t>HYG298</t>
  </si>
  <si>
    <t>HYG074</t>
  </si>
  <si>
    <t>HYG435</t>
  </si>
  <si>
    <t>Steel Scourers</t>
  </si>
  <si>
    <t>Sponge Scourers</t>
  </si>
  <si>
    <t>HYG132</t>
  </si>
  <si>
    <t>Chopping Boards</t>
  </si>
  <si>
    <t>Yellow, Green, White, Red, Blue &amp; Brown</t>
  </si>
  <si>
    <t>HYG137</t>
  </si>
  <si>
    <t xml:space="preserve">Black Refuse Sack </t>
  </si>
  <si>
    <t>1x200</t>
  </si>
  <si>
    <t>15KG/90L</t>
  </si>
  <si>
    <t>HYG133</t>
  </si>
  <si>
    <t>CUP016</t>
  </si>
  <si>
    <t>Paper Hot Cups</t>
  </si>
  <si>
    <t>1x1000</t>
  </si>
  <si>
    <t>8OZ</t>
  </si>
  <si>
    <t>CUP048</t>
  </si>
  <si>
    <t>Hot Cup Lids</t>
  </si>
  <si>
    <t>CUP052</t>
  </si>
  <si>
    <t>Plastic Cups</t>
  </si>
  <si>
    <t>12OZ</t>
  </si>
  <si>
    <t>CUP053</t>
  </si>
  <si>
    <t>CUT002</t>
  </si>
  <si>
    <t>Plastic Spoons</t>
  </si>
  <si>
    <t>10x100</t>
  </si>
  <si>
    <t>CUT003</t>
  </si>
  <si>
    <t>Plastic Knives</t>
  </si>
  <si>
    <t>CUT004</t>
  </si>
  <si>
    <t>Plastic Forks</t>
  </si>
  <si>
    <t>CUT048</t>
  </si>
  <si>
    <t>Wooden Toothpicks</t>
  </si>
  <si>
    <t>CUP205</t>
  </si>
  <si>
    <t>1x250</t>
  </si>
  <si>
    <t>Small Cling Film</t>
  </si>
  <si>
    <t>30cmx300m</t>
  </si>
  <si>
    <t>WRA010</t>
  </si>
  <si>
    <t>WRA009</t>
  </si>
  <si>
    <t>45cmx300m</t>
  </si>
  <si>
    <t>WRA012</t>
  </si>
  <si>
    <t>Small Aluminium Foil</t>
  </si>
  <si>
    <t>30cmx75m</t>
  </si>
  <si>
    <t>WRA011</t>
  </si>
  <si>
    <t>Large Aluminium Foil</t>
  </si>
  <si>
    <t>45cmx75cm</t>
  </si>
  <si>
    <t>WRA015</t>
  </si>
  <si>
    <t xml:space="preserve">Baking Parchment </t>
  </si>
  <si>
    <t>450mmx50m</t>
  </si>
  <si>
    <t>HYG059</t>
  </si>
  <si>
    <t>Strong Bleach</t>
  </si>
  <si>
    <t>HYG023</t>
  </si>
  <si>
    <t>HYG366</t>
  </si>
  <si>
    <t>Thick Bleach</t>
  </si>
  <si>
    <t>Extra Item To Order - Frozen Foods</t>
  </si>
  <si>
    <t>Extra Item To Order - Dry Stores</t>
  </si>
  <si>
    <t>Extra Item To Order - Hygiene</t>
  </si>
  <si>
    <t>Extra Item To Order - Fish &amp; Meats</t>
  </si>
  <si>
    <t>Extra Item To Order - Fresh Foods</t>
  </si>
  <si>
    <t xml:space="preserve">Pizza cut Pineapple Pieces </t>
  </si>
  <si>
    <t>KTC Peeled Plum Tomatoes</t>
  </si>
  <si>
    <t xml:space="preserve">Italian Chopped Tomatoes </t>
  </si>
  <si>
    <t xml:space="preserve">DRY STORES - Tinned fish </t>
  </si>
  <si>
    <t xml:space="preserve">Garlic Mayonnaise bottles </t>
  </si>
  <si>
    <t>Barbeque Sauce bottles</t>
  </si>
  <si>
    <t xml:space="preserve">Peri-Peri Seasoning </t>
  </si>
  <si>
    <t>Goldfish Chinese curry sauce</t>
  </si>
  <si>
    <t>Rapeseed Oil</t>
  </si>
  <si>
    <t>Cumin Seeds</t>
  </si>
  <si>
    <t xml:space="preserve">Pasta Reggia Spaghetti </t>
  </si>
  <si>
    <t>DRY STORES - Honey, Jams &amp; Spreads</t>
  </si>
  <si>
    <t>TipTree Raspberry Preserve</t>
  </si>
  <si>
    <t>Tortilla Wraps 10" &amp; 12"</t>
  </si>
  <si>
    <t>Walkers Salt &amp; Vinegar Crisps</t>
  </si>
  <si>
    <t xml:space="preserve">Loose Cherry Tomatoes </t>
  </si>
  <si>
    <t>cherry Vine Tomatoes</t>
  </si>
  <si>
    <t xml:space="preserve">Iceberg Lettuce </t>
  </si>
  <si>
    <t>Cos Romanina Lettuce</t>
  </si>
  <si>
    <t>Fresh Coriander Bunches</t>
  </si>
  <si>
    <t>Fresh Whole Milk</t>
  </si>
  <si>
    <t>Portobello Mushroom</t>
  </si>
  <si>
    <t xml:space="preserve">Bean Sprouts </t>
  </si>
  <si>
    <t>Red Grapes</t>
  </si>
  <si>
    <t>Passion Fruit</t>
  </si>
  <si>
    <t>Vittorios Mild Block Cheddar Cheese</t>
  </si>
  <si>
    <t>JJ Mild Block White Cheddar Cheese</t>
  </si>
  <si>
    <t>JJ Halloumi Cheese</t>
  </si>
  <si>
    <t>Greek Style Strained Yoghurt</t>
  </si>
  <si>
    <t>Broccoli &amp; Cauliflower</t>
  </si>
  <si>
    <t>Antibacterial Surface Spray</t>
  </si>
  <si>
    <t>Jumbo Sponge Scourers</t>
  </si>
  <si>
    <t>Plastic Cup Lids</t>
  </si>
  <si>
    <t>Black Paper Straws</t>
  </si>
  <si>
    <t>Large Cling Film</t>
  </si>
  <si>
    <t>DRK007</t>
  </si>
  <si>
    <t>24x330ML</t>
  </si>
  <si>
    <t>1x4.15KG</t>
  </si>
  <si>
    <t>Cost  Price</t>
  </si>
  <si>
    <t>Sale Price</t>
  </si>
  <si>
    <t>24x1.5L</t>
  </si>
  <si>
    <t>12x1.25L</t>
  </si>
  <si>
    <t>DRK076</t>
  </si>
  <si>
    <t>DKR077</t>
  </si>
  <si>
    <t>DKR078</t>
  </si>
  <si>
    <t>12x500ML</t>
  </si>
  <si>
    <t>Fanta Lemon cans</t>
  </si>
  <si>
    <t>Fanta Lemon Bottles</t>
  </si>
  <si>
    <t>DKR333</t>
  </si>
  <si>
    <t>DKR332</t>
  </si>
  <si>
    <t>Red Bull Energy Drinks</t>
  </si>
  <si>
    <t>Red Bull Energy Drink Sugar free</t>
  </si>
  <si>
    <t xml:space="preserve">Orange Squash </t>
  </si>
  <si>
    <t>24x500ML</t>
  </si>
  <si>
    <t>24x600ML</t>
  </si>
  <si>
    <t>20x250ML</t>
  </si>
  <si>
    <t>24x250ML</t>
  </si>
  <si>
    <t>24x375ML</t>
  </si>
  <si>
    <t>24x370ML</t>
  </si>
  <si>
    <t>24x400ML</t>
  </si>
  <si>
    <t>12x400ML</t>
  </si>
  <si>
    <t>Fanta Orange BottLes</t>
  </si>
  <si>
    <t>Lime Juice Cordial</t>
  </si>
  <si>
    <t>Blackcurrant Cordial</t>
  </si>
  <si>
    <t xml:space="preserve"> Green Tea</t>
  </si>
  <si>
    <t xml:space="preserve">Baked Beans </t>
  </si>
  <si>
    <t>6x2.61KG</t>
  </si>
  <si>
    <t>Baked Beans (in rich tomato sauce)</t>
  </si>
  <si>
    <t>6x2.62KG</t>
  </si>
  <si>
    <t>24x200G</t>
  </si>
  <si>
    <t>Mushy peas</t>
  </si>
  <si>
    <t xml:space="preserve"> Chick peas</t>
  </si>
  <si>
    <t>6x410G</t>
  </si>
  <si>
    <t>Chopped Tomatoes</t>
  </si>
  <si>
    <t>VEG549</t>
  </si>
  <si>
    <t>VEG550</t>
  </si>
  <si>
    <t>12x400G</t>
  </si>
  <si>
    <t>Dutch Gherkins (Whole)</t>
  </si>
  <si>
    <t>1x10L Tin</t>
  </si>
  <si>
    <t>1x1.70KG</t>
  </si>
  <si>
    <t>2x4.5KG</t>
  </si>
  <si>
    <t>10x300ML</t>
  </si>
  <si>
    <t>Mayonnaise bottles</t>
  </si>
  <si>
    <t>Vegan Mayo</t>
  </si>
  <si>
    <t>Heinz Mayonnaise Sachets</t>
  </si>
  <si>
    <t>200x10ML</t>
  </si>
  <si>
    <t>Heinz Tomato Ketchup Sachets</t>
  </si>
  <si>
    <t xml:space="preserve">Malt Vinegar </t>
  </si>
  <si>
    <t xml:space="preserve">White Vinegar </t>
  </si>
  <si>
    <t>12x500g</t>
  </si>
  <si>
    <t xml:space="preserve">Rice Vinegar </t>
  </si>
  <si>
    <t>Mizkan Mirin</t>
  </si>
  <si>
    <t>1x975ML</t>
  </si>
  <si>
    <t>Lemon Dressing</t>
  </si>
  <si>
    <t>1x4.55KG</t>
  </si>
  <si>
    <t>1x2.95KG</t>
  </si>
  <si>
    <t xml:space="preserve"> White Sesame seeds</t>
  </si>
  <si>
    <t>1x3L</t>
  </si>
  <si>
    <t xml:space="preserve">JJ Dried Parsley </t>
  </si>
  <si>
    <t>Black pepper Powder</t>
  </si>
  <si>
    <t>Chilli Powder</t>
  </si>
  <si>
    <t>Curry Powder</t>
  </si>
  <si>
    <t>Cumin Powder</t>
  </si>
  <si>
    <t>Garlic powder</t>
  </si>
  <si>
    <t>Red pepper flakes</t>
  </si>
  <si>
    <t>Paprika (Mild)</t>
  </si>
  <si>
    <t>Dried Mint</t>
  </si>
  <si>
    <t>Seedless Raisins</t>
  </si>
  <si>
    <t xml:space="preserve">Table Salt </t>
  </si>
  <si>
    <t>Sweetener Sachets</t>
  </si>
  <si>
    <t xml:space="preserve">Pasta Reggia Fusilli </t>
  </si>
  <si>
    <t xml:space="preserve">Instant Pot Noodle                               </t>
  </si>
  <si>
    <t>12x114g</t>
  </si>
  <si>
    <t>8x90</t>
  </si>
  <si>
    <t>Basmati Rice</t>
  </si>
  <si>
    <t>Tilda Basmati Rice</t>
  </si>
  <si>
    <t>Golden Basmati Rice</t>
  </si>
  <si>
    <t>Easy cook Rice</t>
  </si>
  <si>
    <t>Plain Poppadoms</t>
  </si>
  <si>
    <t>Strawberry Jam</t>
  </si>
  <si>
    <t>Part Baked Demi Baguettes</t>
  </si>
  <si>
    <t>Part Baked Multi Seed Baguettes</t>
  </si>
  <si>
    <t>Part Baked Paninis 27cm</t>
  </si>
  <si>
    <t>30x135g</t>
  </si>
  <si>
    <t>7.5" Hot Dog Rolls</t>
  </si>
  <si>
    <t>1x48</t>
  </si>
  <si>
    <t>1x150</t>
  </si>
  <si>
    <t>60x70g</t>
  </si>
  <si>
    <t>12x300g</t>
  </si>
  <si>
    <t>24x69g</t>
  </si>
  <si>
    <t>13x112g</t>
  </si>
  <si>
    <t xml:space="preserve"> All butter Croissants </t>
  </si>
  <si>
    <t>48x57</t>
  </si>
  <si>
    <t>Cost Price</t>
  </si>
  <si>
    <t>Salad Tomatoes</t>
  </si>
  <si>
    <t xml:space="preserve">Mixed Peppers  </t>
  </si>
  <si>
    <t>1x10PCS</t>
  </si>
  <si>
    <t>Burger Cheese Slices</t>
  </si>
  <si>
    <t>Mature Cheddar Slices</t>
  </si>
  <si>
    <t>Halloumi Cheese</t>
  </si>
  <si>
    <t>36x200g</t>
  </si>
  <si>
    <t>5x2KG</t>
  </si>
  <si>
    <t>Grated Vegan Cheese</t>
  </si>
  <si>
    <t xml:space="preserve">Single Cream Alternative </t>
  </si>
  <si>
    <t xml:space="preserve">LakeLand Butter Portions </t>
  </si>
  <si>
    <t>600x6.2g</t>
  </si>
  <si>
    <t>vegetable Ghee Bucket</t>
  </si>
  <si>
    <t xml:space="preserve">Greek Yoghurt </t>
  </si>
  <si>
    <t>CHP111</t>
  </si>
  <si>
    <t xml:space="preserve">10mm Skin on Fries </t>
  </si>
  <si>
    <t>4x2.5KG</t>
  </si>
  <si>
    <t>CHP112</t>
  </si>
  <si>
    <t>12mm Crispy Coating</t>
  </si>
  <si>
    <t>CHP113</t>
  </si>
  <si>
    <t>Crispy Julienne Fries</t>
  </si>
  <si>
    <t>Steak Cut Chips 2.27kg</t>
  </si>
  <si>
    <r>
      <t>Athena</t>
    </r>
    <r>
      <rPr>
        <i/>
        <sz val="16"/>
        <color theme="0"/>
        <rFont val="Calibri"/>
        <family val="2"/>
        <scheme val="minor"/>
      </rPr>
      <t>Marine Supplies</t>
    </r>
  </si>
  <si>
    <t>Total</t>
  </si>
  <si>
    <r>
      <t xml:space="preserve">Fresh </t>
    </r>
    <r>
      <rPr>
        <sz val="11"/>
        <color theme="1"/>
        <rFont val="Calibri"/>
        <family val="2"/>
        <scheme val="minor"/>
      </rPr>
      <t>and</t>
    </r>
    <r>
      <rPr>
        <b/>
        <sz val="11"/>
        <color theme="1"/>
        <rFont val="Calibri"/>
        <family val="2"/>
        <scheme val="minor"/>
      </rPr>
      <t xml:space="preserve"> Frozen </t>
    </r>
    <r>
      <rPr>
        <sz val="11"/>
        <color theme="1"/>
        <rFont val="Calibri"/>
        <family val="2"/>
        <scheme val="minor"/>
      </rPr>
      <t>Lamb</t>
    </r>
  </si>
  <si>
    <r>
      <rPr>
        <b/>
        <i/>
        <sz val="11"/>
        <color theme="1"/>
        <rFont val="Calibri"/>
        <family val="2"/>
        <scheme val="minor"/>
      </rPr>
      <t>Fresh</t>
    </r>
    <r>
      <rPr>
        <sz val="11"/>
        <color theme="1"/>
        <rFont val="Calibri"/>
        <family val="2"/>
        <scheme val="minor"/>
      </rPr>
      <t xml:space="preserve"> Welsh Lamb Neck Fillets</t>
    </r>
  </si>
  <si>
    <r>
      <rPr>
        <b/>
        <i/>
        <sz val="11"/>
        <color theme="1"/>
        <rFont val="Calibri"/>
        <family val="2"/>
        <scheme val="minor"/>
      </rPr>
      <t>Fresh</t>
    </r>
    <r>
      <rPr>
        <sz val="11"/>
        <color theme="1"/>
        <rFont val="Calibri"/>
        <family val="2"/>
        <scheme val="minor"/>
      </rPr>
      <t xml:space="preserve"> Welsh Lamb Bone Shoulder</t>
    </r>
  </si>
  <si>
    <r>
      <rPr>
        <b/>
        <i/>
        <sz val="11"/>
        <color theme="1"/>
        <rFont val="Calibri"/>
        <family val="2"/>
        <scheme val="minor"/>
      </rPr>
      <t>Fresh</t>
    </r>
    <r>
      <rPr>
        <sz val="11"/>
        <color theme="1"/>
        <rFont val="Calibri"/>
        <family val="2"/>
        <scheme val="minor"/>
      </rPr>
      <t xml:space="preserve"> Welsh Lamb Boneless Shoulder</t>
    </r>
  </si>
  <si>
    <r>
      <t xml:space="preserve">Frozen </t>
    </r>
    <r>
      <rPr>
        <sz val="11"/>
        <color theme="1"/>
        <rFont val="Calibri"/>
        <family val="2"/>
        <scheme val="minor"/>
      </rPr>
      <t>Lamb Ribs</t>
    </r>
  </si>
  <si>
    <r>
      <t>Frozen</t>
    </r>
    <r>
      <rPr>
        <sz val="11"/>
        <color theme="1"/>
        <rFont val="Calibri"/>
        <family val="2"/>
        <scheme val="minor"/>
      </rPr>
      <t xml:space="preserve"> Lamb Loin Chops</t>
    </r>
  </si>
  <si>
    <r>
      <t xml:space="preserve">Frozen </t>
    </r>
    <r>
      <rPr>
        <sz val="11"/>
        <color theme="1"/>
        <rFont val="Calibri"/>
        <family val="2"/>
        <scheme val="minor"/>
      </rPr>
      <t>Lamb Livers</t>
    </r>
  </si>
  <si>
    <r>
      <t xml:space="preserve">Frozen </t>
    </r>
    <r>
      <rPr>
        <sz val="11"/>
        <color theme="1"/>
        <rFont val="Calibri"/>
        <family val="2"/>
        <scheme val="minor"/>
      </rPr>
      <t>Lamb Chump Chops</t>
    </r>
  </si>
  <si>
    <r>
      <t xml:space="preserve">Frozen </t>
    </r>
    <r>
      <rPr>
        <sz val="11"/>
        <color theme="1"/>
        <rFont val="Calibri"/>
        <family val="2"/>
        <scheme val="minor"/>
      </rPr>
      <t>Lamb Leg</t>
    </r>
  </si>
  <si>
    <r>
      <t xml:space="preserve">Frozen </t>
    </r>
    <r>
      <rPr>
        <sz val="11"/>
        <color theme="1"/>
        <rFont val="Calibri"/>
        <family val="2"/>
        <scheme val="minor"/>
      </rPr>
      <t>Lamb Neck Fillets</t>
    </r>
  </si>
  <si>
    <r>
      <t xml:space="preserve">Frozen </t>
    </r>
    <r>
      <rPr>
        <sz val="11"/>
        <color theme="1"/>
        <rFont val="Calibri"/>
        <family val="2"/>
        <scheme val="minor"/>
      </rPr>
      <t>Lamb Hind Shanks</t>
    </r>
  </si>
  <si>
    <r>
      <t xml:space="preserve">Frozen </t>
    </r>
    <r>
      <rPr>
        <sz val="11"/>
        <color theme="1"/>
        <rFont val="Calibri"/>
        <family val="2"/>
        <scheme val="minor"/>
      </rPr>
      <t>Boneless Lamb Legs</t>
    </r>
  </si>
  <si>
    <r>
      <t xml:space="preserve">Fresh </t>
    </r>
    <r>
      <rPr>
        <sz val="11"/>
        <color theme="1"/>
        <rFont val="Calibri"/>
        <family val="2"/>
        <scheme val="minor"/>
      </rPr>
      <t xml:space="preserve">and </t>
    </r>
    <r>
      <rPr>
        <b/>
        <sz val="11"/>
        <color theme="1"/>
        <rFont val="Calibri"/>
        <family val="2"/>
        <scheme val="minor"/>
      </rPr>
      <t xml:space="preserve">Frozen </t>
    </r>
    <r>
      <rPr>
        <sz val="11"/>
        <color theme="1"/>
        <rFont val="Calibri"/>
        <family val="2"/>
        <scheme val="minor"/>
      </rPr>
      <t>Beef</t>
    </r>
  </si>
  <si>
    <r>
      <rPr>
        <b/>
        <i/>
        <sz val="11"/>
        <color theme="1"/>
        <rFont val="Calibri"/>
        <family val="2"/>
        <scheme val="minor"/>
      </rPr>
      <t>Fresh</t>
    </r>
    <r>
      <rPr>
        <sz val="11"/>
        <color theme="1"/>
        <rFont val="Calibri"/>
        <family val="2"/>
        <scheme val="minor"/>
      </rPr>
      <t xml:space="preserve"> Sirloin Steak</t>
    </r>
  </si>
  <si>
    <r>
      <rPr>
        <b/>
        <i/>
        <sz val="11"/>
        <color theme="1"/>
        <rFont val="Calibri"/>
        <family val="2"/>
        <scheme val="minor"/>
      </rPr>
      <t>Fresh</t>
    </r>
    <r>
      <rPr>
        <sz val="11"/>
        <color theme="1"/>
        <rFont val="Calibri"/>
        <family val="2"/>
        <scheme val="minor"/>
      </rPr>
      <t xml:space="preserve"> Ribeye Steak</t>
    </r>
  </si>
  <si>
    <r>
      <t xml:space="preserve">Frozen </t>
    </r>
    <r>
      <rPr>
        <sz val="11"/>
        <color theme="1"/>
        <rFont val="Calibri"/>
        <family val="2"/>
        <scheme val="minor"/>
      </rPr>
      <t>Sirloin Steak</t>
    </r>
  </si>
  <si>
    <r>
      <rPr>
        <b/>
        <sz val="11"/>
        <color theme="1"/>
        <rFont val="Calibri"/>
        <family val="2"/>
        <scheme val="minor"/>
      </rPr>
      <t xml:space="preserve">Frozen </t>
    </r>
    <r>
      <rPr>
        <sz val="11"/>
        <color theme="1"/>
        <rFont val="Calibri"/>
        <family val="2"/>
        <scheme val="minor"/>
      </rPr>
      <t>Ribeye Steak</t>
    </r>
  </si>
  <si>
    <r>
      <rPr>
        <b/>
        <sz val="11"/>
        <color theme="1"/>
        <rFont val="Calibri"/>
        <family val="2"/>
        <scheme val="minor"/>
      </rPr>
      <t>Fresh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 xml:space="preserve">Frozen </t>
    </r>
    <r>
      <rPr>
        <sz val="11"/>
        <color theme="1"/>
        <rFont val="Calibri"/>
        <family val="2"/>
        <scheme val="minor"/>
      </rPr>
      <t xml:space="preserve">Poultry </t>
    </r>
  </si>
  <si>
    <r>
      <t xml:space="preserve">Fresh </t>
    </r>
    <r>
      <rPr>
        <sz val="11"/>
        <color theme="1"/>
        <rFont val="Calibri"/>
        <family val="2"/>
        <scheme val="minor"/>
      </rPr>
      <t xml:space="preserve">Whole Chicken </t>
    </r>
  </si>
  <si>
    <r>
      <t>Fresh</t>
    </r>
    <r>
      <rPr>
        <sz val="11"/>
        <color theme="1"/>
        <rFont val="Calibri"/>
        <family val="2"/>
        <scheme val="minor"/>
      </rPr>
      <t>Chicken inner Fillets</t>
    </r>
  </si>
  <si>
    <r>
      <t>Fresh</t>
    </r>
    <r>
      <rPr>
        <sz val="11"/>
        <color theme="1"/>
        <rFont val="Calibri"/>
        <family val="2"/>
        <scheme val="minor"/>
      </rPr>
      <t>Chicken Breast Fillets</t>
    </r>
  </si>
  <si>
    <r>
      <t>Fresh</t>
    </r>
    <r>
      <rPr>
        <sz val="11"/>
        <color theme="1"/>
        <rFont val="Calibri"/>
        <family val="2"/>
        <scheme val="minor"/>
      </rPr>
      <t>Skinless Boneless Thigh</t>
    </r>
  </si>
  <si>
    <r>
      <t>Fresh</t>
    </r>
    <r>
      <rPr>
        <sz val="11"/>
        <color theme="1"/>
        <rFont val="Calibri"/>
        <family val="2"/>
        <scheme val="minor"/>
      </rPr>
      <t>Skin on Boneless Thigh</t>
    </r>
  </si>
  <si>
    <r>
      <t>Fresh</t>
    </r>
    <r>
      <rPr>
        <sz val="11"/>
        <color theme="1"/>
        <rFont val="Calibri"/>
        <family val="2"/>
        <scheme val="minor"/>
      </rPr>
      <t>Skinless Boneless Leg</t>
    </r>
  </si>
  <si>
    <r>
      <t>Fresh</t>
    </r>
    <r>
      <rPr>
        <sz val="11"/>
        <color theme="1"/>
        <rFont val="Calibri"/>
        <family val="2"/>
        <scheme val="minor"/>
      </rPr>
      <t>Skin on Boneless Leg</t>
    </r>
  </si>
  <si>
    <r>
      <t>Fresh</t>
    </r>
    <r>
      <rPr>
        <sz val="11"/>
        <color theme="1"/>
        <rFont val="Calibri"/>
        <family val="2"/>
        <scheme val="minor"/>
      </rPr>
      <t>Chicken Leg Quarters</t>
    </r>
  </si>
  <si>
    <r>
      <t>Fresh</t>
    </r>
    <r>
      <rPr>
        <sz val="11"/>
        <color theme="1"/>
        <rFont val="Calibri"/>
        <family val="2"/>
        <scheme val="minor"/>
      </rPr>
      <t>Chicken Drumstick</t>
    </r>
  </si>
  <si>
    <r>
      <t xml:space="preserve">Frozen </t>
    </r>
    <r>
      <rPr>
        <sz val="11"/>
        <color theme="1"/>
        <rFont val="Calibri"/>
        <family val="2"/>
        <scheme val="minor"/>
      </rPr>
      <t>Whole Griller Chicken</t>
    </r>
  </si>
  <si>
    <r>
      <t>Frozen</t>
    </r>
    <r>
      <rPr>
        <sz val="11"/>
        <color theme="1"/>
        <rFont val="Calibri"/>
        <family val="2"/>
        <scheme val="minor"/>
      </rPr>
      <t xml:space="preserve"> Chicken Breast Fillets</t>
    </r>
  </si>
  <si>
    <r>
      <t xml:space="preserve">Frozen </t>
    </r>
    <r>
      <rPr>
        <sz val="11"/>
        <color theme="1"/>
        <rFont val="Calibri"/>
        <family val="2"/>
        <scheme val="minor"/>
      </rPr>
      <t>Chicken Leg Quarters</t>
    </r>
  </si>
  <si>
    <r>
      <t xml:space="preserve">Frozen </t>
    </r>
    <r>
      <rPr>
        <sz val="11"/>
        <color theme="1"/>
        <rFont val="Calibri"/>
        <family val="2"/>
        <scheme val="minor"/>
      </rPr>
      <t>Chicken Drumstick</t>
    </r>
  </si>
  <si>
    <r>
      <t xml:space="preserve">Frozen </t>
    </r>
    <r>
      <rPr>
        <sz val="11"/>
        <color theme="1"/>
        <rFont val="Calibri"/>
        <family val="2"/>
        <scheme val="minor"/>
      </rPr>
      <t>Skinless boneless Thigh</t>
    </r>
  </si>
  <si>
    <r>
      <t xml:space="preserve"> </t>
    </r>
    <r>
      <rPr>
        <b/>
        <sz val="11"/>
        <color theme="1"/>
        <rFont val="Calibri"/>
        <family val="2"/>
        <scheme val="minor"/>
      </rPr>
      <t xml:space="preserve">Frozen </t>
    </r>
    <r>
      <rPr>
        <sz val="11"/>
        <color theme="1"/>
        <rFont val="Calibri"/>
        <family val="2"/>
        <scheme val="minor"/>
      </rPr>
      <t>Fish</t>
    </r>
  </si>
  <si>
    <r>
      <rPr>
        <b/>
        <i/>
        <sz val="11"/>
        <color theme="1"/>
        <rFont val="Calibri"/>
        <family val="2"/>
        <scheme val="minor"/>
      </rPr>
      <t>FRESH</t>
    </r>
    <r>
      <rPr>
        <sz val="11"/>
        <color theme="1"/>
        <rFont val="Calibri"/>
        <family val="2"/>
        <scheme val="minor"/>
      </rPr>
      <t xml:space="preserve"> Long Sliced Smoked Salmon </t>
    </r>
  </si>
  <si>
    <t>Price Per KG, Box Approx 7KG</t>
  </si>
  <si>
    <t>Price Per KG, Box Approx 5KG</t>
  </si>
  <si>
    <t>Price Per KG, Box Approx 4KG</t>
  </si>
  <si>
    <t>3x5KG</t>
  </si>
  <si>
    <t>Price Per KG, Box Approx 23KG</t>
  </si>
  <si>
    <t>Price Per KG, Box Approx 15KG</t>
  </si>
  <si>
    <t>Price Per KG, Box Approx 20KG</t>
  </si>
  <si>
    <t>Price Per KG, Block Pack Approx 6KG</t>
  </si>
  <si>
    <t>Price Per KG, Block Pack Approx 4KG</t>
  </si>
  <si>
    <t>10% Fat</t>
  </si>
  <si>
    <t>Without Giblets</t>
  </si>
  <si>
    <t>8x1.6KG</t>
  </si>
  <si>
    <r>
      <t xml:space="preserve">Frozen </t>
    </r>
    <r>
      <rPr>
        <sz val="11"/>
        <color theme="1"/>
        <rFont val="Calibri"/>
        <family val="2"/>
        <scheme val="minor"/>
      </rPr>
      <t xml:space="preserve">9 Way Cut Chicken </t>
    </r>
  </si>
  <si>
    <t xml:space="preserve">200g+ Each / Without inner fillets  </t>
  </si>
  <si>
    <r>
      <t xml:space="preserve">Fresh </t>
    </r>
    <r>
      <rPr>
        <i/>
        <sz val="11"/>
        <color theme="1"/>
        <rFont val="Calibri"/>
        <family val="2"/>
        <scheme val="minor"/>
      </rPr>
      <t xml:space="preserve">Mixed </t>
    </r>
    <r>
      <rPr>
        <sz val="11"/>
        <color theme="1"/>
        <rFont val="Calibri"/>
        <family val="2"/>
        <scheme val="minor"/>
      </rPr>
      <t>Prime Wings</t>
    </r>
  </si>
  <si>
    <t>2x4KG</t>
  </si>
  <si>
    <t>10x1.3KG</t>
  </si>
  <si>
    <r>
      <t xml:space="preserve">Frozen Mixed </t>
    </r>
    <r>
      <rPr>
        <sz val="11"/>
        <color theme="1"/>
        <rFont val="Calibri"/>
        <family val="2"/>
        <scheme val="minor"/>
      </rPr>
      <t>Chicken Prime Wings</t>
    </r>
  </si>
  <si>
    <t>Price Per KG, 400-600g Approx</t>
  </si>
  <si>
    <t>Price Per KG, 300-400g Approx</t>
  </si>
  <si>
    <t>200-230g Approx</t>
  </si>
  <si>
    <t>170-220g Approx</t>
  </si>
  <si>
    <t xml:space="preserve">4-5oz </t>
  </si>
  <si>
    <t>Price Per KG, Up To 1.2KG</t>
  </si>
  <si>
    <t>Pre-Sliced, Price Per KG, Up To 1.2KG</t>
  </si>
  <si>
    <t>Glazed Scallops</t>
  </si>
  <si>
    <t>Without Shell</t>
  </si>
  <si>
    <t>7.5KG</t>
  </si>
  <si>
    <t>150 Washes</t>
  </si>
  <si>
    <t>2x4.8L</t>
  </si>
  <si>
    <t xml:space="preserve">Consentrated </t>
  </si>
  <si>
    <t>3x5L</t>
  </si>
  <si>
    <t xml:space="preserve">Concentrated </t>
  </si>
  <si>
    <t>Dishwasher Salt Tablets</t>
  </si>
  <si>
    <t>1x25kg</t>
  </si>
  <si>
    <t>1x5.5KG</t>
  </si>
  <si>
    <t>White Napkins</t>
  </si>
  <si>
    <t>10x500pk</t>
  </si>
  <si>
    <t>1 Ply</t>
  </si>
  <si>
    <t>3x6 Roll</t>
  </si>
  <si>
    <t>Natural colour Roll</t>
  </si>
  <si>
    <t>Soft Toilet Rolls</t>
  </si>
  <si>
    <t>1x24</t>
  </si>
  <si>
    <t xml:space="preserve">Nitrile Small, Medium &amp; Large </t>
  </si>
  <si>
    <t>48x6s</t>
  </si>
  <si>
    <t>Clear Refuse Sack</t>
  </si>
  <si>
    <t>1x80</t>
  </si>
  <si>
    <t>140L</t>
  </si>
  <si>
    <t>1x500</t>
  </si>
  <si>
    <r>
      <rPr>
        <b/>
        <sz val="11"/>
        <color theme="1"/>
        <rFont val="Calibri"/>
        <family val="2"/>
        <scheme val="minor"/>
      </rPr>
      <t>Frozen</t>
    </r>
    <r>
      <rPr>
        <sz val="11"/>
        <color theme="1"/>
        <rFont val="Calibri"/>
        <family val="2"/>
        <scheme val="minor"/>
      </rPr>
      <t xml:space="preserve"> Minced Beef</t>
    </r>
  </si>
  <si>
    <r>
      <t>Athena</t>
    </r>
    <r>
      <rPr>
        <i/>
        <sz val="16"/>
        <color theme="0"/>
        <rFont val="Calibri "/>
      </rPr>
      <t>Marine Supplies</t>
    </r>
  </si>
  <si>
    <t>String Beans</t>
  </si>
  <si>
    <t xml:space="preserve">Radishes </t>
  </si>
  <si>
    <t>Pickled Eggs Jar</t>
  </si>
  <si>
    <t>VEG753</t>
  </si>
  <si>
    <t>VEG322</t>
  </si>
  <si>
    <t>VEG565</t>
  </si>
  <si>
    <t xml:space="preserve">FRESH. Vegetables  </t>
  </si>
  <si>
    <t xml:space="preserve">Asparagus  </t>
  </si>
  <si>
    <t>Standard product name</t>
  </si>
  <si>
    <t>SUPPLIER QANTITY</t>
  </si>
  <si>
    <t>KG</t>
  </si>
  <si>
    <t>SUPPLIER UNIT</t>
  </si>
  <si>
    <t>ORDER QUANTITY</t>
  </si>
  <si>
    <t>PCS</t>
  </si>
  <si>
    <t>1x180</t>
  </si>
  <si>
    <t>1x60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</si>
</sst>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16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36"/>
      <color theme="0"/>
      <name val="Calibri"/>
      <family val="2"/>
      <scheme val="minor"/>
    </font>
    <font>
      <i/>
      <sz val="16"/>
      <color theme="0"/>
      <name val="Calibri"/>
      <family val="2"/>
      <scheme val="minor"/>
    </font>
    <font>
      <b/>
      <sz val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36"/>
      <color theme="0"/>
      <name val="Calibri "/>
    </font>
    <font>
      <i/>
      <sz val="16"/>
      <color theme="0"/>
      <name val="Calibri 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4" borderId="0" applyNumberFormat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1" fillId="3" borderId="0" xfId="0" applyFont="1" applyFill="1"/>
    <xf numFmtId="0" fontId="2" fillId="4" borderId="0" xfId="1"/>
    <xf numFmtId="0" fontId="5" fillId="2" borderId="6" xfId="0" applyFont="1" applyFill="1" applyBorder="1"/>
    <xf numFmtId="0" fontId="5" fillId="0" borderId="0" xfId="0" applyFont="1"/>
    <xf numFmtId="0" fontId="5" fillId="2" borderId="0" xfId="0" applyFont="1" applyFill="1"/>
    <xf numFmtId="0" fontId="6" fillId="0" borderId="0" xfId="0" applyFont="1"/>
    <xf numFmtId="0" fontId="1" fillId="5" borderId="8" xfId="0" applyFont="1" applyFill="1" applyBorder="1"/>
    <xf numFmtId="0" fontId="4" fillId="5" borderId="9" xfId="0" applyFont="1" applyFill="1" applyBorder="1"/>
    <xf numFmtId="0" fontId="1" fillId="5" borderId="9" xfId="0" applyFont="1" applyFill="1" applyBorder="1"/>
    <xf numFmtId="0" fontId="1" fillId="5" borderId="10" xfId="0" applyFont="1" applyFill="1" applyBorder="1"/>
    <xf numFmtId="0" fontId="4" fillId="3" borderId="8" xfId="0" applyFont="1" applyFill="1" applyBorder="1"/>
    <xf numFmtId="0" fontId="4" fillId="3" borderId="9" xfId="0" applyFont="1" applyFill="1" applyBorder="1"/>
    <xf numFmtId="0" fontId="4" fillId="3" borderId="10" xfId="0" applyFont="1" applyFill="1" applyBorder="1"/>
    <xf numFmtId="164" fontId="2" fillId="4" borderId="0" xfId="1" applyNumberFormat="1"/>
    <xf numFmtId="164" fontId="0" fillId="0" borderId="0" xfId="0" applyNumberFormat="1"/>
    <xf numFmtId="164" fontId="1" fillId="3" borderId="0" xfId="0" applyNumberFormat="1" applyFont="1" applyFill="1"/>
    <xf numFmtId="164" fontId="1" fillId="0" borderId="0" xfId="0" applyNumberFormat="1" applyFont="1"/>
    <xf numFmtId="0" fontId="9" fillId="0" borderId="0" xfId="0" applyFont="1"/>
    <xf numFmtId="164" fontId="9" fillId="0" borderId="0" xfId="0" applyNumberFormat="1" applyFont="1"/>
    <xf numFmtId="0" fontId="12" fillId="0" borderId="1" xfId="0" applyFont="1" applyBorder="1" applyAlignment="1">
      <alignment horizontal="justify" vertical="top"/>
    </xf>
    <xf numFmtId="0" fontId="12" fillId="0" borderId="2" xfId="0" applyFont="1" applyBorder="1" applyAlignment="1">
      <alignment horizontal="justify" vertical="top"/>
    </xf>
    <xf numFmtId="0" fontId="12" fillId="0" borderId="3" xfId="0" applyFont="1" applyBorder="1" applyAlignment="1">
      <alignment horizontal="justify" vertical="top"/>
    </xf>
    <xf numFmtId="0" fontId="12" fillId="0" borderId="4" xfId="0" applyFont="1" applyBorder="1" applyAlignment="1">
      <alignment horizontal="justify" vertical="top"/>
    </xf>
    <xf numFmtId="164" fontId="12" fillId="0" borderId="4" xfId="0" applyNumberFormat="1" applyFont="1" applyBorder="1" applyAlignment="1">
      <alignment horizontal="justify" vertical="top"/>
    </xf>
    <xf numFmtId="164" fontId="4" fillId="3" borderId="9" xfId="0" applyNumberFormat="1" applyFont="1" applyFill="1" applyBorder="1"/>
    <xf numFmtId="0" fontId="12" fillId="0" borderId="11" xfId="0" applyFont="1" applyBorder="1" applyAlignment="1">
      <alignment horizontal="justify" vertical="top"/>
    </xf>
    <xf numFmtId="164" fontId="1" fillId="5" borderId="9" xfId="0" applyNumberFormat="1" applyFont="1" applyFill="1" applyBorder="1"/>
    <xf numFmtId="0" fontId="0" fillId="2" borderId="0" xfId="0" applyFill="1"/>
    <xf numFmtId="164" fontId="0" fillId="2" borderId="0" xfId="0" applyNumberFormat="1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164" fontId="0" fillId="2" borderId="7" xfId="0" applyNumberFormat="1" applyFill="1" applyBorder="1"/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/>
    </xf>
    <xf numFmtId="0" fontId="10" fillId="4" borderId="0" xfId="1" applyFont="1" applyAlignment="1">
      <alignment horizontal="center"/>
    </xf>
    <xf numFmtId="0" fontId="3" fillId="4" borderId="0" xfId="1" applyFont="1" applyAlignment="1">
      <alignment horizontal="center"/>
    </xf>
    <xf numFmtId="0" fontId="7" fillId="2" borderId="0" xfId="0" applyFont="1" applyFill="1" applyAlignment="1">
      <alignment horizontal="center"/>
    </xf>
    <xf numFmtId="0" fontId="14" fillId="4" borderId="0" xfId="1" applyFont="1" applyAlignment="1">
      <alignment horizontal="center"/>
    </xf>
  </cellXfs>
  <cellStyles count="2">
    <cellStyle name="60% - Accent1" xfId="1" builtinId="32"/>
    <cellStyle name="Normal" xfId="0" builtinId="0"/>
  </cellStyles>
  <dxfs count="8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£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£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£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theme="4" tint="0.39997558519241921"/>
        </top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£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£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£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theme="4" tint="0.39997558519241921"/>
        </top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£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£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£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£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£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justify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£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£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£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6:H268" totalsRowShown="0" headerRowDxfId="66" dataDxfId="65" tableBorderDxfId="64">
  <autoFilter ref="A6:H268" xr:uid="{00000000-0009-0000-0100-000002000000}"/>
  <tableColumns count="8">
    <tableColumn id="1" xr3:uid="{00000000-0010-0000-0000-000001000000}" name="item code" dataDxfId="63"/>
    <tableColumn id="2" xr3:uid="{00000000-0010-0000-0000-000002000000}" name="Standard product name" dataDxfId="62"/>
    <tableColumn id="4" xr3:uid="{00000000-0010-0000-0000-000004000000}" name="PACKAGING PER CTN" dataDxfId="61"/>
    <tableColumn id="5" xr3:uid="{00000000-0010-0000-0000-000005000000}" name="ORDER QTY" dataDxfId="60"/>
    <tableColumn id="6" xr3:uid="{00000000-0010-0000-0000-000006000000}" name="COMMENTS" dataDxfId="59"/>
    <tableColumn id="3" xr3:uid="{E736EA06-1D7E-4E4C-A728-DC2F13DC9872}" name="Cost  Price" dataDxfId="58"/>
    <tableColumn id="7" xr3:uid="{A41A0F9A-8233-42FF-BE78-AF85202EB96E}" name="Sale Price" dataDxfId="57"/>
    <tableColumn id="8" xr3:uid="{8D107DC6-C043-444D-8047-521727489BFA}" name="Total" dataDxfId="56">
      <calculatedColumnFormula>Table2[[#This Row],[ORDER QTY]]*Table2[[#This Row],[Sale Price]]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able68" displayName="Table68" ref="A273:E282" totalsRowShown="0" headerRowDxfId="55" dataDxfId="54">
  <autoFilter ref="A273:E282" xr:uid="{00000000-0009-0000-0100-000007000000}"/>
  <tableColumns count="5">
    <tableColumn id="1" xr3:uid="{00000000-0010-0000-0100-000001000000}" name="ITEM CODE" dataDxfId="53"/>
    <tableColumn id="2" xr3:uid="{00000000-0010-0000-0100-000002000000}" name="DISCRIPTION" dataDxfId="52"/>
    <tableColumn id="3" xr3:uid="{00000000-0010-0000-0100-000003000000}" name="PACKAGING PER CTN" dataDxfId="51"/>
    <tableColumn id="4" xr3:uid="{00000000-0010-0000-0100-000004000000}" name="ORDER QTY" dataDxfId="50"/>
    <tableColumn id="5" xr3:uid="{00000000-0010-0000-0100-000005000000}" name="COMMENTS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6:H129" totalsRowShown="0" headerRowDxfId="83" dataDxfId="82">
  <autoFilter ref="A6:H129" xr:uid="{00000000-0009-0000-0100-000001000000}"/>
  <tableColumns count="8">
    <tableColumn id="1" xr3:uid="{00000000-0010-0000-0200-000001000000}" name="ITEM CODE" dataDxfId="81"/>
    <tableColumn id="2" xr3:uid="{00000000-0010-0000-0200-000002000000}" name="Standard product name" dataDxfId="80"/>
    <tableColumn id="3" xr3:uid="{00000000-0010-0000-0200-000003000000}" name="SUPPLIER QANTITY" dataDxfId="79"/>
    <tableColumn id="4" xr3:uid="{00000000-0010-0000-0200-000004000000}" name="SUPPLIER UNIT" dataDxfId="78"/>
    <tableColumn id="5" xr3:uid="{00000000-0010-0000-0200-000005000000}" name="ORDER QUANTITY" dataDxfId="77"/>
    <tableColumn id="6" xr3:uid="{45945E7E-F264-450A-A433-042A54C87B57}" name="Cost Price" dataDxfId="76"/>
    <tableColumn id="7" xr3:uid="{1A405069-1A3B-424A-A89A-356DE9CAD42F}" name="Sale Price" dataDxfId="75"/>
    <tableColumn id="9" xr3:uid="{5746E94A-D8F2-47BA-B09D-08965775EB37}" name="Total" dataDxfId="74">
      <calculatedColumnFormula>Table1[[#This Row],[SUPPLIER UNIT]]*Table1[[#This Row],[Sale Price]]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Table689" displayName="Table689" ref="A134:E143" totalsRowShown="0" headerRowDxfId="73" dataDxfId="72">
  <autoFilter ref="A134:E143" xr:uid="{00000000-0009-0000-0100-000008000000}"/>
  <tableColumns count="5">
    <tableColumn id="1" xr3:uid="{00000000-0010-0000-0300-000001000000}" name="ITEM CODE" dataDxfId="71"/>
    <tableColumn id="2" xr3:uid="{00000000-0010-0000-0300-000002000000}" name="DISCRIPTION" dataDxfId="70"/>
    <tableColumn id="3" xr3:uid="{00000000-0010-0000-0300-000003000000}" name="PACKAGING PER CTN" dataDxfId="69"/>
    <tableColumn id="4" xr3:uid="{00000000-0010-0000-0300-000004000000}" name="ORDER QTY" dataDxfId="68"/>
    <tableColumn id="5" xr3:uid="{00000000-0010-0000-0300-000005000000}" name="COMMENTS" dataDxfId="6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le4" displayName="Table4" ref="A6:H52" totalsRowShown="0" headerRowDxfId="48" dataDxfId="47">
  <autoFilter ref="A6:H52" xr:uid="{00000000-0009-0000-0100-000004000000}"/>
  <tableColumns count="8">
    <tableColumn id="1" xr3:uid="{00000000-0010-0000-0400-000001000000}" name="ITEM CODE" dataDxfId="46"/>
    <tableColumn id="2" xr3:uid="{00000000-0010-0000-0400-000002000000}" name="Standard product name" dataDxfId="45"/>
    <tableColumn id="3" xr3:uid="{00000000-0010-0000-0400-000003000000}" name="PACKAGING PER CTN" dataDxfId="44"/>
    <tableColumn id="4" xr3:uid="{00000000-0010-0000-0400-000004000000}" name="ORDER QTY" dataDxfId="43"/>
    <tableColumn id="5" xr3:uid="{00000000-0010-0000-0400-000005000000}" name="COMMENTS" dataDxfId="42"/>
    <tableColumn id="6" xr3:uid="{7F5E9C75-0A4A-4107-ABB9-F183D169AB42}" name="Cost Price" dataDxfId="41"/>
    <tableColumn id="7" xr3:uid="{D7819043-945C-428C-99B6-44959201D007}" name="Sale Price" dataDxfId="40">
      <calculatedColumnFormula>Table4[[#This Row],[Cost Price]]*1.25</calculatedColumnFormula>
    </tableColumn>
    <tableColumn id="8" xr3:uid="{EE13767E-B710-44DA-9A3D-959FD5397C7D}" name="Total" dataDxfId="39">
      <calculatedColumnFormula>Table4[[#This Row],[ORDER QTY]]*Table4[[#This Row],[Sale Price]]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57:E66" totalsRowShown="0" headerRowDxfId="38" dataDxfId="37">
  <autoFilter ref="A57:E66" xr:uid="{00000000-0009-0000-0100-000006000000}"/>
  <tableColumns count="5">
    <tableColumn id="1" xr3:uid="{00000000-0010-0000-0500-000001000000}" name="ITEM CODE" dataDxfId="36"/>
    <tableColumn id="2" xr3:uid="{00000000-0010-0000-0500-000002000000}" name="DISCRIPTION" dataDxfId="35"/>
    <tableColumn id="3" xr3:uid="{00000000-0010-0000-0500-000003000000}" name="PACKAGING PER CTN" dataDxfId="34"/>
    <tableColumn id="4" xr3:uid="{00000000-0010-0000-0500-000004000000}" name="ORDER QTY" dataDxfId="33"/>
    <tableColumn id="5" xr3:uid="{00000000-0010-0000-0500-000005000000}" name="COMMENTS" dataDxfId="3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6000000}" name="Table3" displayName="Table3" ref="A6:H74" totalsRowShown="0" headerRowDxfId="31" dataDxfId="29" headerRowBorderDxfId="30" tableBorderDxfId="28">
  <autoFilter ref="A6:H74" xr:uid="{00000000-0009-0000-0100-000003000000}"/>
  <tableColumns count="8">
    <tableColumn id="1" xr3:uid="{00000000-0010-0000-0600-000001000000}" name="item code" dataDxfId="27"/>
    <tableColumn id="2" xr3:uid="{00000000-0010-0000-0600-000002000000}" name="Standard product name" dataDxfId="26"/>
    <tableColumn id="3" xr3:uid="{00000000-0010-0000-0600-000003000000}" name="PACKAGING PER CTN" dataDxfId="25"/>
    <tableColumn id="4" xr3:uid="{00000000-0010-0000-0600-000004000000}" name="ORDER QTY" dataDxfId="24"/>
    <tableColumn id="5" xr3:uid="{00000000-0010-0000-0600-000005000000}" name="COMMENTS" dataDxfId="23"/>
    <tableColumn id="7" xr3:uid="{C044996B-88F5-4933-A672-42E92C9C0591}" name="Cost Price" dataDxfId="22"/>
    <tableColumn id="8" xr3:uid="{BD974DBC-6A84-4427-A8F4-36C91D996086}" name="Sale Price" dataDxfId="21">
      <calculatedColumnFormula>Table3[[#This Row],[Cost Price]]*1.25</calculatedColumnFormula>
    </tableColumn>
    <tableColumn id="9" xr3:uid="{EE4166BF-E469-47BF-89C2-E57708CAC166}" name="Total" dataDxfId="20">
      <calculatedColumnFormula>Table3[[#This Row],[ORDER QTY]]*Table3[[#This Row],[Sale Price]]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e68910" displayName="Table68910" ref="A78:E87" totalsRowShown="0" headerRowDxfId="19" dataDxfId="18">
  <autoFilter ref="A78:E87" xr:uid="{00000000-0009-0000-0100-000009000000}"/>
  <tableColumns count="5">
    <tableColumn id="1" xr3:uid="{00000000-0010-0000-0700-000001000000}" name="ITEM CODE" dataDxfId="17"/>
    <tableColumn id="2" xr3:uid="{00000000-0010-0000-0700-000002000000}" name="DISCRIPTION" dataDxfId="16"/>
    <tableColumn id="3" xr3:uid="{00000000-0010-0000-0700-000003000000}" name="PACKAGING PER CTN" dataDxfId="15"/>
    <tableColumn id="4" xr3:uid="{00000000-0010-0000-0700-000004000000}" name="ORDER QTY" dataDxfId="14"/>
    <tableColumn id="5" xr3:uid="{00000000-0010-0000-0700-000005000000}" name="COMMENTS" dataDxfId="1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8000000}" name="Table5" displayName="Table5" ref="A6:H63" totalsRowShown="0" headerRowDxfId="12" dataDxfId="10" headerRowBorderDxfId="11" tableBorderDxfId="9">
  <autoFilter ref="A6:H63" xr:uid="{00000000-0009-0000-0100-000005000000}"/>
  <tableColumns count="8">
    <tableColumn id="1" xr3:uid="{00000000-0010-0000-0800-000001000000}" name="ITEM CODE" dataDxfId="8"/>
    <tableColumn id="2" xr3:uid="{00000000-0010-0000-0800-000002000000}" name="Standard product name" dataDxfId="7"/>
    <tableColumn id="3" xr3:uid="{00000000-0010-0000-0800-000003000000}" name="PACKAGING PER CTN" dataDxfId="6"/>
    <tableColumn id="4" xr3:uid="{00000000-0010-0000-0800-000004000000}" name="ORDER QTY" dataDxfId="5"/>
    <tableColumn id="5" xr3:uid="{00000000-0010-0000-0800-000005000000}" name="COMMENTS" dataDxfId="4"/>
    <tableColumn id="6" xr3:uid="{DFC5F60C-996D-4413-AEC4-37187A7C7F12}" name="Cost Price" dataDxfId="3"/>
    <tableColumn id="7" xr3:uid="{05CFCBB5-9912-496F-91D4-FA7621202D84}" name="Sale Price" dataDxfId="2">
      <calculatedColumnFormula>Table5[[#This Row],[Cost Price]]*1.25</calculatedColumnFormula>
    </tableColumn>
    <tableColumn id="8" xr3:uid="{62281006-ECB9-4D5E-810A-DC3373AFC677}" name="Total" dataDxfId="1">
      <calculatedColumnFormula>Table5[[#This Row],[ORDER QTY]]*Table5[[#This Row],[Sale Price]]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6891011" displayName="Table6891011" ref="A68:E77" totalsRowShown="0" headerRowDxfId="0">
  <autoFilter ref="A68:E77" xr:uid="{00000000-0009-0000-0100-00000A000000}"/>
  <tableColumns count="5">
    <tableColumn id="1" xr3:uid="{00000000-0010-0000-0900-000001000000}" name="ITEM CODE"/>
    <tableColumn id="2" xr3:uid="{00000000-0010-0000-0900-000002000000}" name="DISCRIPTION"/>
    <tableColumn id="3" xr3:uid="{00000000-0010-0000-0900-000003000000}" name="PACKAGING PER CTN"/>
    <tableColumn id="4" xr3:uid="{00000000-0010-0000-0900-000004000000}" name="ORDER QTY"/>
    <tableColumn id="5" xr3:uid="{00000000-0010-0000-0900-000005000000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H273"/>
  <sheetViews>
    <sheetView topLeftCell="A40" zoomScaleNormal="100" zoomScaleSheetLayoutView="100" workbookViewId="0">
      <selection activeCell="B6" sqref="B6"/>
    </sheetView>
  </sheetViews>
  <sheetFormatPr defaultColWidth="27.77734375" defaultRowHeight="14.4"/>
  <cols>
    <col min="1" max="1" width="12.77734375" style="19" customWidth="1"/>
    <col min="2" max="2" width="27.77734375" style="19" customWidth="1"/>
    <col min="3" max="3" width="12.77734375" style="19" customWidth="1"/>
    <col min="4" max="4" width="15.77734375" style="19" customWidth="1"/>
    <col min="5" max="5" width="27.77734375" style="19"/>
    <col min="6" max="6" width="27.77734375" style="20" customWidth="1"/>
    <col min="7" max="7" width="27.77734375" style="20"/>
    <col min="8" max="16384" width="27.77734375" style="19"/>
  </cols>
  <sheetData>
    <row r="1" spans="1:8" ht="15" customHeight="1">
      <c r="A1" s="3"/>
      <c r="B1" s="37" t="s">
        <v>1174</v>
      </c>
      <c r="C1" s="38"/>
      <c r="D1" s="38"/>
      <c r="E1" s="3"/>
      <c r="F1" s="15"/>
      <c r="G1" s="15"/>
      <c r="H1" s="15"/>
    </row>
    <row r="2" spans="1:8" ht="15" customHeight="1">
      <c r="A2" s="3"/>
      <c r="B2" s="38"/>
      <c r="C2" s="38"/>
      <c r="D2" s="38"/>
      <c r="E2" s="3"/>
      <c r="F2" s="15"/>
      <c r="G2" s="15"/>
      <c r="H2" s="15"/>
    </row>
    <row r="3" spans="1:8" ht="15" customHeight="1">
      <c r="A3" s="3"/>
      <c r="B3" s="38"/>
      <c r="C3" s="38"/>
      <c r="D3" s="38"/>
      <c r="E3" s="3"/>
      <c r="F3" s="15"/>
      <c r="G3" s="15"/>
      <c r="H3" s="15"/>
    </row>
    <row r="4" spans="1:8" ht="15" customHeight="1">
      <c r="A4" s="3"/>
      <c r="B4" s="38"/>
      <c r="C4" s="38"/>
      <c r="D4" s="38"/>
      <c r="E4" s="3"/>
      <c r="F4" s="15"/>
      <c r="G4" s="15"/>
      <c r="H4" s="15"/>
    </row>
    <row r="5" spans="1:8" ht="15" customHeight="1">
      <c r="A5" s="3"/>
      <c r="B5" s="3"/>
      <c r="C5" s="3"/>
      <c r="D5" s="3"/>
      <c r="E5" s="3"/>
      <c r="F5" s="15"/>
      <c r="G5" s="15"/>
      <c r="H5" s="15"/>
    </row>
    <row r="6" spans="1:8" ht="28.2" thickBot="1">
      <c r="A6" s="21" t="s">
        <v>3</v>
      </c>
      <c r="B6" s="22" t="s">
        <v>1269</v>
      </c>
      <c r="C6" s="23" t="s">
        <v>0</v>
      </c>
      <c r="D6" s="22" t="s">
        <v>1</v>
      </c>
      <c r="E6" s="24" t="s">
        <v>2</v>
      </c>
      <c r="F6" s="25" t="s">
        <v>1056</v>
      </c>
      <c r="G6" s="25" t="s">
        <v>1057</v>
      </c>
      <c r="H6" s="27" t="s">
        <v>1175</v>
      </c>
    </row>
    <row r="7" spans="1:8">
      <c r="A7" s="29"/>
      <c r="B7" s="29" t="s">
        <v>4</v>
      </c>
      <c r="C7" s="29"/>
      <c r="D7" s="29"/>
      <c r="E7" s="29"/>
      <c r="F7" s="30"/>
      <c r="G7" s="30"/>
      <c r="H7" s="30"/>
    </row>
    <row r="8" spans="1:8">
      <c r="A8" t="s">
        <v>6</v>
      </c>
      <c r="B8" t="s">
        <v>5</v>
      </c>
      <c r="C8" t="s">
        <v>1071</v>
      </c>
      <c r="D8"/>
      <c r="E8"/>
      <c r="F8" s="16">
        <v>6.25</v>
      </c>
      <c r="G8" s="16">
        <f>Table2[[#This Row],[Cost  Price]]*1.25</f>
        <v>7.8125</v>
      </c>
      <c r="H8" s="16">
        <f>Table2[[#This Row],[ORDER QTY]]*Table2[[#This Row],[Sale Price]]</f>
        <v>0</v>
      </c>
    </row>
    <row r="9" spans="1:8">
      <c r="A9" t="s">
        <v>7</v>
      </c>
      <c r="B9" t="s">
        <v>5</v>
      </c>
      <c r="C9" t="s">
        <v>1058</v>
      </c>
      <c r="D9"/>
      <c r="E9"/>
      <c r="F9" s="16">
        <v>7.09</v>
      </c>
      <c r="G9" s="16">
        <f>Table2[[#This Row],[Cost  Price]]*1.25</f>
        <v>8.8625000000000007</v>
      </c>
      <c r="H9" s="16">
        <f>Table2[[#This Row],[ORDER QTY]]*Table2[[#This Row],[Sale Price]]</f>
        <v>0</v>
      </c>
    </row>
    <row r="10" spans="1:8">
      <c r="A10" t="s">
        <v>8</v>
      </c>
      <c r="B10" t="s">
        <v>9</v>
      </c>
      <c r="C10" t="s">
        <v>1071</v>
      </c>
      <c r="D10"/>
      <c r="E10"/>
      <c r="F10" s="16">
        <v>6.65</v>
      </c>
      <c r="G10" s="16">
        <f>Table2[[#This Row],[Cost  Price]]*1.25</f>
        <v>8.3125</v>
      </c>
      <c r="H10" s="16">
        <f>Table2[[#This Row],[ORDER QTY]]*Table2[[#This Row],[Sale Price]]</f>
        <v>0</v>
      </c>
    </row>
    <row r="11" spans="1:8">
      <c r="A11" t="s">
        <v>1053</v>
      </c>
      <c r="B11" t="s">
        <v>9</v>
      </c>
      <c r="C11" t="s">
        <v>10</v>
      </c>
      <c r="D11"/>
      <c r="E11"/>
      <c r="F11" s="16">
        <v>9.85</v>
      </c>
      <c r="G11" s="16">
        <f>Table2[[#This Row],[Cost  Price]]*1.25</f>
        <v>12.3125</v>
      </c>
      <c r="H11" s="16">
        <f>Table2[[#This Row],[ORDER QTY]]*Table2[[#This Row],[Sale Price]]</f>
        <v>0</v>
      </c>
    </row>
    <row r="12" spans="1:8">
      <c r="A12" t="s">
        <v>11</v>
      </c>
      <c r="B12" t="s">
        <v>12</v>
      </c>
      <c r="C12" t="s">
        <v>1072</v>
      </c>
      <c r="D12"/>
      <c r="E12"/>
      <c r="F12" s="16">
        <v>9.89</v>
      </c>
      <c r="G12" s="16">
        <f>Table2[[#This Row],[Cost  Price]]*1.25</f>
        <v>12.362500000000001</v>
      </c>
      <c r="H12" s="16">
        <f>Table2[[#This Row],[ORDER QTY]]*Table2[[#This Row],[Sale Price]]</f>
        <v>0</v>
      </c>
    </row>
    <row r="13" spans="1:8">
      <c r="A13" t="s">
        <v>13</v>
      </c>
      <c r="B13" t="s">
        <v>14</v>
      </c>
      <c r="C13" t="s">
        <v>1054</v>
      </c>
      <c r="D13"/>
      <c r="E13"/>
      <c r="F13" s="16">
        <v>14.79</v>
      </c>
      <c r="G13" s="16">
        <f>Table2[[#This Row],[Cost  Price]]*1.25</f>
        <v>18.487499999999997</v>
      </c>
      <c r="H13" s="16">
        <f>Table2[[#This Row],[ORDER QTY]]*Table2[[#This Row],[Sale Price]]</f>
        <v>0</v>
      </c>
    </row>
    <row r="14" spans="1:8">
      <c r="A14" t="s">
        <v>16</v>
      </c>
      <c r="B14" t="s">
        <v>15</v>
      </c>
      <c r="C14" t="s">
        <v>1054</v>
      </c>
      <c r="D14"/>
      <c r="E14"/>
      <c r="F14" s="16">
        <v>11.79</v>
      </c>
      <c r="G14" s="16">
        <f>Table2[[#This Row],[Cost  Price]]*1.25</f>
        <v>14.737499999999999</v>
      </c>
      <c r="H14" s="16">
        <f>Table2[[#This Row],[ORDER QTY]]*Table2[[#This Row],[Sale Price]]</f>
        <v>0</v>
      </c>
    </row>
    <row r="15" spans="1:8">
      <c r="A15" t="s">
        <v>31</v>
      </c>
      <c r="B15" t="s">
        <v>32</v>
      </c>
      <c r="C15" t="s">
        <v>1059</v>
      </c>
      <c r="D15"/>
      <c r="E15"/>
      <c r="F15" s="16">
        <v>16.95</v>
      </c>
      <c r="G15" s="16">
        <f>Table2[[#This Row],[Cost  Price]]*1.25</f>
        <v>21.1875</v>
      </c>
      <c r="H15" s="16">
        <f>Table2[[#This Row],[ORDER QTY]]*Table2[[#This Row],[Sale Price]]</f>
        <v>0</v>
      </c>
    </row>
    <row r="16" spans="1:8">
      <c r="A16" t="s">
        <v>33</v>
      </c>
      <c r="B16" t="s">
        <v>34</v>
      </c>
      <c r="C16" t="s">
        <v>1059</v>
      </c>
      <c r="D16"/>
      <c r="E16"/>
      <c r="F16" s="16">
        <v>16.149999999999999</v>
      </c>
      <c r="G16" s="16">
        <f>Table2[[#This Row],[Cost  Price]]*1.25</f>
        <v>20.1875</v>
      </c>
      <c r="H16" s="16">
        <f>Table2[[#This Row],[ORDER QTY]]*Table2[[#This Row],[Sale Price]]</f>
        <v>0</v>
      </c>
    </row>
    <row r="17" spans="1:8">
      <c r="A17" t="s">
        <v>17</v>
      </c>
      <c r="B17" t="s">
        <v>18</v>
      </c>
      <c r="C17" t="s">
        <v>1054</v>
      </c>
      <c r="D17"/>
      <c r="E17"/>
      <c r="F17" s="16">
        <v>12.39</v>
      </c>
      <c r="G17" s="16">
        <f>Table2[[#This Row],[Cost  Price]]*1.25</f>
        <v>15.487500000000001</v>
      </c>
      <c r="H17" s="16">
        <f>Table2[[#This Row],[ORDER QTY]]*Table2[[#This Row],[Sale Price]]</f>
        <v>0</v>
      </c>
    </row>
    <row r="18" spans="1:8">
      <c r="A18" t="s">
        <v>1060</v>
      </c>
      <c r="B18" t="s">
        <v>1079</v>
      </c>
      <c r="C18" t="s">
        <v>1063</v>
      </c>
      <c r="D18"/>
      <c r="E18"/>
      <c r="F18" s="16">
        <v>11.09</v>
      </c>
      <c r="G18" s="16">
        <f>Table2[[#This Row],[Cost  Price]]*1.25</f>
        <v>13.862500000000001</v>
      </c>
      <c r="H18" s="16">
        <f>Table2[[#This Row],[ORDER QTY]]*Table2[[#This Row],[Sale Price]]</f>
        <v>0</v>
      </c>
    </row>
    <row r="19" spans="1:8">
      <c r="A19" t="s">
        <v>1061</v>
      </c>
      <c r="B19" t="s">
        <v>1064</v>
      </c>
      <c r="C19" t="s">
        <v>1054</v>
      </c>
      <c r="D19"/>
      <c r="E19"/>
      <c r="F19" s="16">
        <v>12.39</v>
      </c>
      <c r="G19" s="16">
        <f>Table2[[#This Row],[Cost  Price]]*1.25</f>
        <v>15.487500000000001</v>
      </c>
      <c r="H19" s="16">
        <f>Table2[[#This Row],[ORDER QTY]]*Table2[[#This Row],[Sale Price]]</f>
        <v>0</v>
      </c>
    </row>
    <row r="20" spans="1:8">
      <c r="A20" t="s">
        <v>1062</v>
      </c>
      <c r="B20" t="s">
        <v>1065</v>
      </c>
      <c r="C20" t="s">
        <v>1063</v>
      </c>
      <c r="D20"/>
      <c r="E20"/>
      <c r="F20" s="16">
        <v>10.77</v>
      </c>
      <c r="G20" s="16">
        <f>Table2[[#This Row],[Cost  Price]]*1.25</f>
        <v>13.462499999999999</v>
      </c>
      <c r="H20" s="16">
        <f>Table2[[#This Row],[ORDER QTY]]*Table2[[#This Row],[Sale Price]]</f>
        <v>0</v>
      </c>
    </row>
    <row r="21" spans="1:8">
      <c r="A21" t="s">
        <v>19</v>
      </c>
      <c r="B21" t="s">
        <v>20</v>
      </c>
      <c r="C21" t="s">
        <v>1054</v>
      </c>
      <c r="D21"/>
      <c r="E21"/>
      <c r="F21" s="16">
        <v>11.45</v>
      </c>
      <c r="G21" s="16">
        <f>Table2[[#This Row],[Cost  Price]]*1.25</f>
        <v>14.3125</v>
      </c>
      <c r="H21" s="16">
        <f>Table2[[#This Row],[ORDER QTY]]*Table2[[#This Row],[Sale Price]]</f>
        <v>0</v>
      </c>
    </row>
    <row r="22" spans="1:8">
      <c r="A22" t="s">
        <v>21</v>
      </c>
      <c r="B22" t="s">
        <v>22</v>
      </c>
      <c r="C22" t="s">
        <v>1054</v>
      </c>
      <c r="D22"/>
      <c r="E22"/>
      <c r="F22" s="16">
        <v>11.45</v>
      </c>
      <c r="G22" s="16">
        <f>Table2[[#This Row],[Cost  Price]]*1.25</f>
        <v>14.3125</v>
      </c>
      <c r="H22" s="16">
        <f>Table2[[#This Row],[ORDER QTY]]*Table2[[#This Row],[Sale Price]]</f>
        <v>0</v>
      </c>
    </row>
    <row r="23" spans="1:8">
      <c r="A23" t="s">
        <v>35</v>
      </c>
      <c r="B23" t="s">
        <v>38</v>
      </c>
      <c r="C23" t="s">
        <v>1063</v>
      </c>
      <c r="D23"/>
      <c r="E23"/>
      <c r="F23" s="16">
        <v>11.09</v>
      </c>
      <c r="G23" s="16">
        <f>Table2[[#This Row],[Cost  Price]]*1.25</f>
        <v>13.862500000000001</v>
      </c>
      <c r="H23" s="16">
        <f>Table2[[#This Row],[ORDER QTY]]*Table2[[#This Row],[Sale Price]]</f>
        <v>0</v>
      </c>
    </row>
    <row r="24" spans="1:8">
      <c r="A24" t="s">
        <v>23</v>
      </c>
      <c r="B24" t="s">
        <v>24</v>
      </c>
      <c r="C24" t="s">
        <v>1054</v>
      </c>
      <c r="D24"/>
      <c r="E24"/>
      <c r="F24" s="16">
        <v>12.75</v>
      </c>
      <c r="G24" s="16">
        <f>Table2[[#This Row],[Cost  Price]]*1.25</f>
        <v>15.9375</v>
      </c>
      <c r="H24" s="16">
        <f>Table2[[#This Row],[ORDER QTY]]*Table2[[#This Row],[Sale Price]]</f>
        <v>0</v>
      </c>
    </row>
    <row r="25" spans="1:8">
      <c r="A25" t="s">
        <v>25</v>
      </c>
      <c r="B25" t="s">
        <v>26</v>
      </c>
      <c r="C25" t="s">
        <v>1054</v>
      </c>
      <c r="D25"/>
      <c r="E25"/>
      <c r="F25" s="16">
        <v>12.25</v>
      </c>
      <c r="G25" s="16">
        <f>Table2[[#This Row],[Cost  Price]]*1.25</f>
        <v>15.3125</v>
      </c>
      <c r="H25" s="16">
        <f>Table2[[#This Row],[ORDER QTY]]*Table2[[#This Row],[Sale Price]]</f>
        <v>0</v>
      </c>
    </row>
    <row r="26" spans="1:8">
      <c r="A26" t="s">
        <v>36</v>
      </c>
      <c r="B26" t="s">
        <v>37</v>
      </c>
      <c r="C26" t="s">
        <v>10</v>
      </c>
      <c r="D26"/>
      <c r="E26"/>
      <c r="F26" s="16">
        <v>11.25</v>
      </c>
      <c r="G26" s="16">
        <f>Table2[[#This Row],[Cost  Price]]*1.25</f>
        <v>14.0625</v>
      </c>
      <c r="H26" s="16">
        <f>Table2[[#This Row],[ORDER QTY]]*Table2[[#This Row],[Sale Price]]</f>
        <v>0</v>
      </c>
    </row>
    <row r="27" spans="1:8">
      <c r="A27" t="s">
        <v>39</v>
      </c>
      <c r="B27" t="s">
        <v>40</v>
      </c>
      <c r="C27" t="s">
        <v>10</v>
      </c>
      <c r="D27"/>
      <c r="E27"/>
      <c r="F27" s="16">
        <v>11.25</v>
      </c>
      <c r="G27" s="16">
        <f>Table2[[#This Row],[Cost  Price]]*1.25</f>
        <v>14.0625</v>
      </c>
      <c r="H27" s="16">
        <f>Table2[[#This Row],[ORDER QTY]]*Table2[[#This Row],[Sale Price]]</f>
        <v>0</v>
      </c>
    </row>
    <row r="28" spans="1:8">
      <c r="A28" t="s">
        <v>27</v>
      </c>
      <c r="B28" t="s">
        <v>28</v>
      </c>
      <c r="C28" t="s">
        <v>1054</v>
      </c>
      <c r="D28"/>
      <c r="E28"/>
      <c r="F28" s="16">
        <v>11.39</v>
      </c>
      <c r="G28" s="16">
        <f>Table2[[#This Row],[Cost  Price]]*1.25</f>
        <v>14.237500000000001</v>
      </c>
      <c r="H28" s="16">
        <f>Table2[[#This Row],[ORDER QTY]]*Table2[[#This Row],[Sale Price]]</f>
        <v>0</v>
      </c>
    </row>
    <row r="29" spans="1:8">
      <c r="A29" t="s">
        <v>29</v>
      </c>
      <c r="B29" t="s">
        <v>30</v>
      </c>
      <c r="C29" t="s">
        <v>1054</v>
      </c>
      <c r="D29"/>
      <c r="E29"/>
      <c r="F29" s="16">
        <v>11.08</v>
      </c>
      <c r="G29" s="16">
        <f>Table2[[#This Row],[Cost  Price]]*1.25</f>
        <v>13.85</v>
      </c>
      <c r="H29" s="16">
        <f>Table2[[#This Row],[ORDER QTY]]*Table2[[#This Row],[Sale Price]]</f>
        <v>0</v>
      </c>
    </row>
    <row r="30" spans="1:8">
      <c r="A30" t="s">
        <v>588</v>
      </c>
      <c r="B30" t="s">
        <v>589</v>
      </c>
      <c r="C30" t="s">
        <v>1073</v>
      </c>
      <c r="D30"/>
      <c r="E30"/>
      <c r="F30" s="16">
        <v>8.99</v>
      </c>
      <c r="G30" s="16">
        <f>Table2[[#This Row],[Cost  Price]]*1.25</f>
        <v>11.237500000000001</v>
      </c>
      <c r="H30" s="16">
        <f>Table2[[#This Row],[ORDER QTY]]*Table2[[#This Row],[Sale Price]]</f>
        <v>0</v>
      </c>
    </row>
    <row r="31" spans="1:8">
      <c r="A31" t="s">
        <v>1066</v>
      </c>
      <c r="B31" t="s">
        <v>1068</v>
      </c>
      <c r="C31" t="s">
        <v>1074</v>
      </c>
      <c r="D31"/>
      <c r="E31"/>
      <c r="F31" s="16">
        <v>24.49</v>
      </c>
      <c r="G31" s="16">
        <f>Table2[[#This Row],[Cost  Price]]*1.25</f>
        <v>30.612499999999997</v>
      </c>
      <c r="H31" s="16">
        <f>Table2[[#This Row],[ORDER QTY]]*Table2[[#This Row],[Sale Price]]</f>
        <v>0</v>
      </c>
    </row>
    <row r="32" spans="1:8">
      <c r="A32" t="s">
        <v>1067</v>
      </c>
      <c r="B32" t="s">
        <v>1069</v>
      </c>
      <c r="C32" t="s">
        <v>1074</v>
      </c>
      <c r="D32"/>
      <c r="E32"/>
      <c r="F32" s="16">
        <v>22.99</v>
      </c>
      <c r="G32" s="16">
        <f>Table2[[#This Row],[Cost  Price]]*1.25</f>
        <v>28.737499999999997</v>
      </c>
      <c r="H32" s="16">
        <f>Table2[[#This Row],[ORDER QTY]]*Table2[[#This Row],[Sale Price]]</f>
        <v>0</v>
      </c>
    </row>
    <row r="33" spans="1:8">
      <c r="A33" s="29"/>
      <c r="B33" s="29" t="s">
        <v>41</v>
      </c>
      <c r="C33" s="29"/>
      <c r="D33" s="29"/>
      <c r="E33" s="29"/>
      <c r="F33" s="30"/>
      <c r="G33" s="30"/>
      <c r="H33" s="30"/>
    </row>
    <row r="34" spans="1:8">
      <c r="A34" t="s">
        <v>42</v>
      </c>
      <c r="B34" t="s">
        <v>1070</v>
      </c>
      <c r="C34" t="s">
        <v>170</v>
      </c>
      <c r="D34"/>
      <c r="E34"/>
      <c r="F34" s="16">
        <v>12.49</v>
      </c>
      <c r="G34" s="16">
        <f>Table2[[#This Row],[Cost  Price]]*1.25</f>
        <v>15.612500000000001</v>
      </c>
      <c r="H34" s="16">
        <f>Table2[[#This Row],[ORDER QTY]]*Table2[[#This Row],[Sale Price]]</f>
        <v>0</v>
      </c>
    </row>
    <row r="35" spans="1:8">
      <c r="A35" t="s">
        <v>43</v>
      </c>
      <c r="B35" t="s">
        <v>1080</v>
      </c>
      <c r="C35" t="s">
        <v>170</v>
      </c>
      <c r="D35"/>
      <c r="E35"/>
      <c r="F35" s="16">
        <v>11.49</v>
      </c>
      <c r="G35" s="16">
        <f>Table2[[#This Row],[Cost  Price]]*1.25</f>
        <v>14.362500000000001</v>
      </c>
      <c r="H35" s="16">
        <f>Table2[[#This Row],[ORDER QTY]]*Table2[[#This Row],[Sale Price]]</f>
        <v>0</v>
      </c>
    </row>
    <row r="36" spans="1:8">
      <c r="A36" t="s">
        <v>44</v>
      </c>
      <c r="B36" t="s">
        <v>1081</v>
      </c>
      <c r="C36" t="s">
        <v>170</v>
      </c>
      <c r="D36"/>
      <c r="E36"/>
      <c r="F36" s="16">
        <v>11.49</v>
      </c>
      <c r="G36" s="16">
        <f>Table2[[#This Row],[Cost  Price]]*1.25</f>
        <v>14.362500000000001</v>
      </c>
      <c r="H36" s="16">
        <f>Table2[[#This Row],[ORDER QTY]]*Table2[[#This Row],[Sale Price]]</f>
        <v>0</v>
      </c>
    </row>
    <row r="37" spans="1:8">
      <c r="A37" s="29"/>
      <c r="B37" s="29" t="s">
        <v>45</v>
      </c>
      <c r="C37" s="29"/>
      <c r="D37" s="29"/>
      <c r="E37" s="29"/>
      <c r="F37" s="30"/>
      <c r="G37" s="30"/>
      <c r="H37" s="30"/>
    </row>
    <row r="38" spans="1:8">
      <c r="A38" t="s">
        <v>46</v>
      </c>
      <c r="B38" t="s">
        <v>50</v>
      </c>
      <c r="C38" t="s">
        <v>51</v>
      </c>
      <c r="D38"/>
      <c r="E38"/>
      <c r="F38" s="16">
        <v>89.99</v>
      </c>
      <c r="G38" s="16">
        <f>Table2[[#This Row],[Cost  Price]]*1.25</f>
        <v>112.4875</v>
      </c>
      <c r="H38" s="16">
        <f>Table2[[#This Row],[ORDER QTY]]*Table2[[#This Row],[Sale Price]]</f>
        <v>0</v>
      </c>
    </row>
    <row r="39" spans="1:8">
      <c r="A39" t="s">
        <v>47</v>
      </c>
      <c r="B39" t="s">
        <v>52</v>
      </c>
      <c r="C39" t="s">
        <v>51</v>
      </c>
      <c r="D39"/>
      <c r="E39"/>
      <c r="F39" s="16">
        <v>91.99</v>
      </c>
      <c r="G39" s="16">
        <f>Table2[[#This Row],[Cost  Price]]*1.25</f>
        <v>114.9875</v>
      </c>
      <c r="H39" s="16">
        <f>Table2[[#This Row],[ORDER QTY]]*Table2[[#This Row],[Sale Price]]</f>
        <v>0</v>
      </c>
    </row>
    <row r="40" spans="1:8">
      <c r="A40" t="s">
        <v>48</v>
      </c>
      <c r="B40" t="s">
        <v>53</v>
      </c>
      <c r="C40" t="s">
        <v>51</v>
      </c>
      <c r="D40"/>
      <c r="E40"/>
      <c r="F40" s="16">
        <v>101.99</v>
      </c>
      <c r="G40" s="16">
        <f>Table2[[#This Row],[Cost  Price]]*1.25</f>
        <v>127.4875</v>
      </c>
      <c r="H40" s="16">
        <f>Table2[[#This Row],[ORDER QTY]]*Table2[[#This Row],[Sale Price]]</f>
        <v>0</v>
      </c>
    </row>
    <row r="41" spans="1:8">
      <c r="A41" t="s">
        <v>49</v>
      </c>
      <c r="B41" t="s">
        <v>54</v>
      </c>
      <c r="C41" t="s">
        <v>51</v>
      </c>
      <c r="D41"/>
      <c r="E41"/>
      <c r="F41" s="16">
        <v>101.99</v>
      </c>
      <c r="G41" s="16">
        <f>Table2[[#This Row],[Cost  Price]]*1.25</f>
        <v>127.4875</v>
      </c>
      <c r="H41" s="16">
        <f>Table2[[#This Row],[ORDER QTY]]*Table2[[#This Row],[Sale Price]]</f>
        <v>0</v>
      </c>
    </row>
    <row r="42" spans="1:8">
      <c r="A42" t="s">
        <v>112</v>
      </c>
      <c r="B42" t="s">
        <v>55</v>
      </c>
      <c r="C42" t="s">
        <v>58</v>
      </c>
      <c r="D42"/>
      <c r="E42"/>
      <c r="F42" s="16">
        <v>7.29</v>
      </c>
      <c r="G42" s="16">
        <f>Table2[[#This Row],[Cost  Price]]*1.25</f>
        <v>9.1125000000000007</v>
      </c>
      <c r="H42" s="16">
        <f>Table2[[#This Row],[ORDER QTY]]*Table2[[#This Row],[Sale Price]]</f>
        <v>0</v>
      </c>
    </row>
    <row r="43" spans="1:8">
      <c r="A43" t="s">
        <v>60</v>
      </c>
      <c r="B43" t="s">
        <v>55</v>
      </c>
      <c r="C43" t="s">
        <v>56</v>
      </c>
      <c r="D43"/>
      <c r="E43"/>
      <c r="F43" s="16">
        <v>25.99</v>
      </c>
      <c r="G43" s="16">
        <f>Table2[[#This Row],[Cost  Price]]*1.25</f>
        <v>32.487499999999997</v>
      </c>
      <c r="H43" s="16">
        <f>Table2[[#This Row],[ORDER QTY]]*Table2[[#This Row],[Sale Price]]</f>
        <v>0</v>
      </c>
    </row>
    <row r="44" spans="1:8">
      <c r="A44" t="s">
        <v>59</v>
      </c>
      <c r="B44" t="s">
        <v>57</v>
      </c>
      <c r="C44" t="s">
        <v>58</v>
      </c>
      <c r="D44"/>
      <c r="E44"/>
      <c r="F44" s="16">
        <v>7.79</v>
      </c>
      <c r="G44" s="16">
        <f>Table2[[#This Row],[Cost  Price]]*1.25</f>
        <v>9.7375000000000007</v>
      </c>
      <c r="H44" s="16">
        <f>Table2[[#This Row],[ORDER QTY]]*Table2[[#This Row],[Sale Price]]</f>
        <v>0</v>
      </c>
    </row>
    <row r="45" spans="1:8">
      <c r="A45" t="s">
        <v>61</v>
      </c>
      <c r="B45" t="s">
        <v>1082</v>
      </c>
      <c r="C45" t="s">
        <v>58</v>
      </c>
      <c r="D45"/>
      <c r="E45"/>
      <c r="F45" s="16">
        <v>9.99</v>
      </c>
      <c r="G45" s="16">
        <f>Table2[[#This Row],[Cost  Price]]*1.25</f>
        <v>12.487500000000001</v>
      </c>
      <c r="H45" s="16">
        <f>Table2[[#This Row],[ORDER QTY]]*Table2[[#This Row],[Sale Price]]</f>
        <v>0</v>
      </c>
    </row>
    <row r="46" spans="1:8">
      <c r="A46" t="s">
        <v>62</v>
      </c>
      <c r="B46" t="s">
        <v>63</v>
      </c>
      <c r="C46" t="s">
        <v>64</v>
      </c>
      <c r="D46"/>
      <c r="E46"/>
      <c r="F46" s="16">
        <v>6.59</v>
      </c>
      <c r="G46" s="16">
        <f>Table2[[#This Row],[Cost  Price]]*1.25</f>
        <v>8.2375000000000007</v>
      </c>
      <c r="H46" s="16">
        <f>Table2[[#This Row],[ORDER QTY]]*Table2[[#This Row],[Sale Price]]</f>
        <v>0</v>
      </c>
    </row>
    <row r="47" spans="1:8">
      <c r="A47" s="29"/>
      <c r="B47" s="29" t="s">
        <v>65</v>
      </c>
      <c r="C47" s="29"/>
      <c r="D47" s="29"/>
      <c r="E47" s="29"/>
      <c r="F47" s="30"/>
      <c r="G47" s="30"/>
      <c r="H47" s="30"/>
    </row>
    <row r="48" spans="1:8">
      <c r="A48" t="s">
        <v>66</v>
      </c>
      <c r="B48" t="s">
        <v>1083</v>
      </c>
      <c r="C48" t="s">
        <v>1084</v>
      </c>
      <c r="D48"/>
      <c r="E48"/>
      <c r="F48" s="16">
        <v>16.989999999999998</v>
      </c>
      <c r="G48" s="16">
        <f>Table2[[#This Row],[Cost  Price]]*1.25</f>
        <v>21.237499999999997</v>
      </c>
      <c r="H48" s="16">
        <f>Table2[[#This Row],[ORDER QTY]]*Table2[[#This Row],[Sale Price]]</f>
        <v>0</v>
      </c>
    </row>
    <row r="49" spans="1:8">
      <c r="A49" t="s">
        <v>67</v>
      </c>
      <c r="B49" t="s">
        <v>1085</v>
      </c>
      <c r="C49" t="s">
        <v>1086</v>
      </c>
      <c r="D49"/>
      <c r="E49"/>
      <c r="F49" s="16">
        <v>21.99</v>
      </c>
      <c r="G49" s="16">
        <f>Table2[[#This Row],[Cost  Price]]*1.25</f>
        <v>27.487499999999997</v>
      </c>
      <c r="H49" s="16">
        <f>Table2[[#This Row],[ORDER QTY]]*Table2[[#This Row],[Sale Price]]</f>
        <v>0</v>
      </c>
    </row>
    <row r="50" spans="1:8">
      <c r="A50" t="s">
        <v>68</v>
      </c>
      <c r="B50" t="s">
        <v>70</v>
      </c>
      <c r="C50" t="s">
        <v>1086</v>
      </c>
      <c r="D50"/>
      <c r="E50"/>
      <c r="F50" s="16">
        <v>24.49</v>
      </c>
      <c r="G50" s="16">
        <f>Table2[[#This Row],[Cost  Price]]*1.25</f>
        <v>30.612499999999997</v>
      </c>
      <c r="H50" s="16">
        <f>Table2[[#This Row],[ORDER QTY]]*Table2[[#This Row],[Sale Price]]</f>
        <v>0</v>
      </c>
    </row>
    <row r="51" spans="1:8">
      <c r="A51" t="s">
        <v>69</v>
      </c>
      <c r="B51" t="s">
        <v>70</v>
      </c>
      <c r="C51" t="s">
        <v>1087</v>
      </c>
      <c r="D51"/>
      <c r="E51"/>
      <c r="F51" s="16">
        <v>19.989999999999998</v>
      </c>
      <c r="G51" s="16">
        <f>Table2[[#This Row],[Cost  Price]]*1.25</f>
        <v>24.987499999999997</v>
      </c>
      <c r="H51" s="16">
        <f>Table2[[#This Row],[ORDER QTY]]*Table2[[#This Row],[Sale Price]]</f>
        <v>0</v>
      </c>
    </row>
    <row r="52" spans="1:8">
      <c r="A52" t="s">
        <v>71</v>
      </c>
      <c r="B52" t="s">
        <v>1089</v>
      </c>
      <c r="C52" t="s">
        <v>72</v>
      </c>
      <c r="D52"/>
      <c r="E52"/>
      <c r="F52" s="16">
        <v>25.29</v>
      </c>
      <c r="G52" s="16">
        <f>Table2[[#This Row],[Cost  Price]]*1.25</f>
        <v>31.612499999999997</v>
      </c>
      <c r="H52" s="16">
        <f>Table2[[#This Row],[ORDER QTY]]*Table2[[#This Row],[Sale Price]]</f>
        <v>0</v>
      </c>
    </row>
    <row r="53" spans="1:8">
      <c r="A53" t="s">
        <v>74</v>
      </c>
      <c r="B53" t="s">
        <v>1088</v>
      </c>
      <c r="C53" t="s">
        <v>73</v>
      </c>
      <c r="D53"/>
      <c r="E53"/>
      <c r="F53" s="16">
        <v>6.29</v>
      </c>
      <c r="G53" s="16">
        <f>Table2[[#This Row],[Cost  Price]]*1.25</f>
        <v>7.8624999999999998</v>
      </c>
      <c r="H53" s="16">
        <f>Table2[[#This Row],[ORDER QTY]]*Table2[[#This Row],[Sale Price]]</f>
        <v>0</v>
      </c>
    </row>
    <row r="54" spans="1:8">
      <c r="A54" t="s">
        <v>75</v>
      </c>
      <c r="B54" t="s">
        <v>76</v>
      </c>
      <c r="C54" t="s">
        <v>77</v>
      </c>
      <c r="D54"/>
      <c r="E54"/>
      <c r="F54" s="16">
        <v>9.2899999999999991</v>
      </c>
      <c r="G54" s="16">
        <f>Table2[[#This Row],[Cost  Price]]*1.25</f>
        <v>11.612499999999999</v>
      </c>
      <c r="H54" s="16">
        <f>Table2[[#This Row],[ORDER QTY]]*Table2[[#This Row],[Sale Price]]</f>
        <v>0</v>
      </c>
    </row>
    <row r="55" spans="1:8">
      <c r="A55" t="s">
        <v>98</v>
      </c>
      <c r="B55" t="s">
        <v>1018</v>
      </c>
      <c r="C55" t="s">
        <v>99</v>
      </c>
      <c r="D55"/>
      <c r="E55"/>
      <c r="F55" s="16">
        <v>9.7899999999999991</v>
      </c>
      <c r="G55" s="16">
        <f>Table2[[#This Row],[Cost  Price]]*1.25</f>
        <v>12.237499999999999</v>
      </c>
      <c r="H55" s="16">
        <f>Table2[[#This Row],[ORDER QTY]]*Table2[[#This Row],[Sale Price]]</f>
        <v>0</v>
      </c>
    </row>
    <row r="56" spans="1:8">
      <c r="A56" t="s">
        <v>100</v>
      </c>
      <c r="B56" t="s">
        <v>101</v>
      </c>
      <c r="C56" t="s">
        <v>1090</v>
      </c>
      <c r="D56"/>
      <c r="E56"/>
      <c r="F56" s="16">
        <v>7.15</v>
      </c>
      <c r="G56" s="16">
        <f>Table2[[#This Row],[Cost  Price]]*1.25</f>
        <v>8.9375</v>
      </c>
      <c r="H56" s="16">
        <f>Table2[[#This Row],[ORDER QTY]]*Table2[[#This Row],[Sale Price]]</f>
        <v>0</v>
      </c>
    </row>
    <row r="57" spans="1:8">
      <c r="A57" t="s">
        <v>102</v>
      </c>
      <c r="B57" t="s">
        <v>103</v>
      </c>
      <c r="C57" t="s">
        <v>104</v>
      </c>
      <c r="D57"/>
      <c r="E57"/>
      <c r="F57" s="16">
        <v>19.79</v>
      </c>
      <c r="G57" s="16">
        <f>Table2[[#This Row],[Cost  Price]]*1.25</f>
        <v>24.737499999999997</v>
      </c>
      <c r="H57" s="16">
        <f>Table2[[#This Row],[ORDER QTY]]*Table2[[#This Row],[Sale Price]]</f>
        <v>0</v>
      </c>
    </row>
    <row r="58" spans="1:8">
      <c r="A58" s="29"/>
      <c r="B58" s="29" t="s">
        <v>86</v>
      </c>
      <c r="C58" s="29"/>
      <c r="D58" s="29"/>
      <c r="E58" s="29"/>
      <c r="F58" s="30"/>
      <c r="G58" s="30"/>
      <c r="H58" s="30"/>
    </row>
    <row r="59" spans="1:8">
      <c r="A59" t="s">
        <v>79</v>
      </c>
      <c r="B59" t="s">
        <v>1091</v>
      </c>
      <c r="C59" t="s">
        <v>80</v>
      </c>
      <c r="D59"/>
      <c r="E59"/>
      <c r="F59" s="16">
        <v>16.989999999999998</v>
      </c>
      <c r="G59" s="16">
        <f>Table2[[#This Row],[Cost  Price]]*1.25</f>
        <v>21.237499999999997</v>
      </c>
      <c r="H59" s="16">
        <f>Table2[[#This Row],[ORDER QTY]]*Table2[[#This Row],[Sale Price]]</f>
        <v>0</v>
      </c>
    </row>
    <row r="60" spans="1:8">
      <c r="A60" t="s">
        <v>1092</v>
      </c>
      <c r="B60" t="s">
        <v>1091</v>
      </c>
      <c r="C60" t="s">
        <v>210</v>
      </c>
      <c r="D60"/>
      <c r="E60"/>
      <c r="F60" s="16">
        <v>4.29</v>
      </c>
      <c r="G60" s="16">
        <f>Table2[[#This Row],[Cost  Price]]*1.25</f>
        <v>5.3624999999999998</v>
      </c>
      <c r="H60" s="16">
        <f>Table2[[#This Row],[ORDER QTY]]*Table2[[#This Row],[Sale Price]]</f>
        <v>0</v>
      </c>
    </row>
    <row r="61" spans="1:8">
      <c r="A61" t="s">
        <v>1093</v>
      </c>
      <c r="B61" t="s">
        <v>1091</v>
      </c>
      <c r="C61" t="s">
        <v>1094</v>
      </c>
      <c r="D61"/>
      <c r="E61"/>
      <c r="F61" s="16">
        <v>9.7899999999999991</v>
      </c>
      <c r="G61" s="16">
        <f>Table2[[#This Row],[Cost  Price]]*1.25</f>
        <v>12.237499999999999</v>
      </c>
      <c r="H61" s="16">
        <f>Table2[[#This Row],[ORDER QTY]]*Table2[[#This Row],[Sale Price]]</f>
        <v>0</v>
      </c>
    </row>
    <row r="62" spans="1:8">
      <c r="A62" t="s">
        <v>81</v>
      </c>
      <c r="B62" t="s">
        <v>1019</v>
      </c>
      <c r="C62" t="s">
        <v>80</v>
      </c>
      <c r="D62"/>
      <c r="E62"/>
      <c r="F62" s="16">
        <v>23.99</v>
      </c>
      <c r="G62" s="16">
        <f>Table2[[#This Row],[Cost  Price]]*1.25</f>
        <v>29.987499999999997</v>
      </c>
      <c r="H62" s="16">
        <f>Table2[[#This Row],[ORDER QTY]]*Table2[[#This Row],[Sale Price]]</f>
        <v>0</v>
      </c>
    </row>
    <row r="63" spans="1:8">
      <c r="A63" t="s">
        <v>82</v>
      </c>
      <c r="B63" t="s">
        <v>83</v>
      </c>
      <c r="C63" t="s">
        <v>80</v>
      </c>
      <c r="D63"/>
      <c r="E63"/>
      <c r="F63" s="16">
        <v>15.99</v>
      </c>
      <c r="G63" s="16">
        <f>Table2[[#This Row],[Cost  Price]]*1.25</f>
        <v>19.987500000000001</v>
      </c>
      <c r="H63" s="16">
        <f>Table2[[#This Row],[ORDER QTY]]*Table2[[#This Row],[Sale Price]]</f>
        <v>0</v>
      </c>
    </row>
    <row r="64" spans="1:8">
      <c r="A64" t="s">
        <v>84</v>
      </c>
      <c r="B64" t="s">
        <v>1020</v>
      </c>
      <c r="C64" t="s">
        <v>80</v>
      </c>
      <c r="D64"/>
      <c r="E64"/>
      <c r="F64" s="16">
        <v>20.29</v>
      </c>
      <c r="G64" s="16">
        <f>Table2[[#This Row],[Cost  Price]]*1.25</f>
        <v>25.362499999999997</v>
      </c>
      <c r="H64" s="16">
        <f>Table2[[#This Row],[ORDER QTY]]*Table2[[#This Row],[Sale Price]]</f>
        <v>0</v>
      </c>
    </row>
    <row r="65" spans="1:8">
      <c r="A65" s="29"/>
      <c r="B65" s="29" t="s">
        <v>87</v>
      </c>
      <c r="C65" s="29"/>
      <c r="D65" s="29"/>
      <c r="E65" s="29"/>
      <c r="F65" s="30"/>
      <c r="G65" s="30"/>
      <c r="H65" s="30"/>
    </row>
    <row r="66" spans="1:8">
      <c r="A66" t="s">
        <v>85</v>
      </c>
      <c r="B66" t="s">
        <v>88</v>
      </c>
      <c r="C66" t="s">
        <v>89</v>
      </c>
      <c r="D66"/>
      <c r="E66"/>
      <c r="F66" s="16">
        <v>10.09</v>
      </c>
      <c r="G66" s="16">
        <f>Table2[[#This Row],[Cost  Price]]*1.25</f>
        <v>12.612500000000001</v>
      </c>
      <c r="H66" s="16">
        <f>Table2[[#This Row],[ORDER QTY]]*Table2[[#This Row],[Sale Price]]</f>
        <v>0</v>
      </c>
    </row>
    <row r="67" spans="1:8">
      <c r="A67" t="s">
        <v>96</v>
      </c>
      <c r="B67" t="s">
        <v>1095</v>
      </c>
      <c r="C67" t="s">
        <v>1096</v>
      </c>
      <c r="D67"/>
      <c r="E67"/>
      <c r="F67" s="16">
        <v>17.79</v>
      </c>
      <c r="G67" s="16">
        <f>Table2[[#This Row],[Cost  Price]]*1.25</f>
        <v>22.237499999999997</v>
      </c>
      <c r="H67" s="16">
        <f>Table2[[#This Row],[ORDER QTY]]*Table2[[#This Row],[Sale Price]]</f>
        <v>0</v>
      </c>
    </row>
    <row r="68" spans="1:8">
      <c r="A68" t="s">
        <v>90</v>
      </c>
      <c r="B68" t="s">
        <v>91</v>
      </c>
      <c r="C68" t="s">
        <v>92</v>
      </c>
      <c r="D68"/>
      <c r="E68"/>
      <c r="F68" s="16">
        <v>10.29</v>
      </c>
      <c r="G68" s="16">
        <f>Table2[[#This Row],[Cost  Price]]*1.25</f>
        <v>12.862499999999999</v>
      </c>
      <c r="H68" s="16">
        <f>Table2[[#This Row],[ORDER QTY]]*Table2[[#This Row],[Sale Price]]</f>
        <v>0</v>
      </c>
    </row>
    <row r="69" spans="1:8">
      <c r="A69" t="s">
        <v>93</v>
      </c>
      <c r="B69" t="s">
        <v>94</v>
      </c>
      <c r="C69" t="s">
        <v>95</v>
      </c>
      <c r="D69"/>
      <c r="E69"/>
      <c r="F69" s="16">
        <v>9.7899999999999991</v>
      </c>
      <c r="G69" s="16">
        <f>Table2[[#This Row],[Cost  Price]]*1.25</f>
        <v>12.237499999999999</v>
      </c>
      <c r="H69" s="16">
        <f>Table2[[#This Row],[ORDER QTY]]*Table2[[#This Row],[Sale Price]]</f>
        <v>0</v>
      </c>
    </row>
    <row r="70" spans="1:8">
      <c r="A70" t="s">
        <v>106</v>
      </c>
      <c r="B70" t="s">
        <v>107</v>
      </c>
      <c r="C70" t="s">
        <v>1055</v>
      </c>
      <c r="D70"/>
      <c r="E70"/>
      <c r="F70" s="16">
        <v>14.79</v>
      </c>
      <c r="G70" s="16">
        <f>Table2[[#This Row],[Cost  Price]]*1.25</f>
        <v>18.487499999999997</v>
      </c>
      <c r="H70" s="16">
        <f>Table2[[#This Row],[ORDER QTY]]*Table2[[#This Row],[Sale Price]]</f>
        <v>0</v>
      </c>
    </row>
    <row r="71" spans="1:8">
      <c r="A71" t="s">
        <v>109</v>
      </c>
      <c r="B71" t="s">
        <v>110</v>
      </c>
      <c r="C71" t="s">
        <v>1055</v>
      </c>
      <c r="D71"/>
      <c r="E71"/>
      <c r="F71" s="16">
        <v>14.79</v>
      </c>
      <c r="G71" s="16">
        <f>Table2[[#This Row],[Cost  Price]]*1.25</f>
        <v>18.487499999999997</v>
      </c>
      <c r="H71" s="16">
        <f>Table2[[#This Row],[ORDER QTY]]*Table2[[#This Row],[Sale Price]]</f>
        <v>0</v>
      </c>
    </row>
    <row r="72" spans="1:8">
      <c r="A72" s="29"/>
      <c r="B72" s="29" t="s">
        <v>1021</v>
      </c>
      <c r="C72" s="29"/>
      <c r="D72" s="29"/>
      <c r="E72" s="29"/>
      <c r="F72" s="30"/>
      <c r="G72" s="30"/>
      <c r="H72" s="30"/>
    </row>
    <row r="73" spans="1:8">
      <c r="A73" t="s">
        <v>113</v>
      </c>
      <c r="B73" t="s">
        <v>114</v>
      </c>
      <c r="C73" t="s">
        <v>115</v>
      </c>
      <c r="D73"/>
      <c r="E73"/>
      <c r="F73" s="16">
        <v>6.99</v>
      </c>
      <c r="G73" s="16">
        <f>Table2[[#This Row],[Cost  Price]]*1.25</f>
        <v>8.7375000000000007</v>
      </c>
      <c r="H73" s="16">
        <f>Table2[[#This Row],[ORDER QTY]]*Table2[[#This Row],[Sale Price]]</f>
        <v>0</v>
      </c>
    </row>
    <row r="74" spans="1:8">
      <c r="A74" t="s">
        <v>116</v>
      </c>
      <c r="B74" t="s">
        <v>117</v>
      </c>
      <c r="C74" t="s">
        <v>1097</v>
      </c>
      <c r="D74"/>
      <c r="E74"/>
      <c r="F74" s="16">
        <v>7.99</v>
      </c>
      <c r="G74" s="16">
        <f>Table2[[#This Row],[Cost  Price]]*1.25</f>
        <v>9.9875000000000007</v>
      </c>
      <c r="H74" s="16">
        <f>Table2[[#This Row],[ORDER QTY]]*Table2[[#This Row],[Sale Price]]</f>
        <v>0</v>
      </c>
    </row>
    <row r="75" spans="1:8">
      <c r="A75" s="29"/>
      <c r="B75" s="29" t="s">
        <v>154</v>
      </c>
      <c r="C75" s="29"/>
      <c r="D75" s="29"/>
      <c r="E75" s="29"/>
      <c r="F75" s="30"/>
      <c r="G75" s="30"/>
      <c r="H75" s="30"/>
    </row>
    <row r="76" spans="1:8">
      <c r="A76" t="s">
        <v>118</v>
      </c>
      <c r="B76" t="s">
        <v>130</v>
      </c>
      <c r="C76" t="s">
        <v>119</v>
      </c>
      <c r="D76"/>
      <c r="E76"/>
      <c r="F76" s="16">
        <v>14.99</v>
      </c>
      <c r="G76" s="16">
        <f>Table2[[#This Row],[Cost  Price]]*1.25</f>
        <v>18.737500000000001</v>
      </c>
      <c r="H76" s="16">
        <f>Table2[[#This Row],[ORDER QTY]]*Table2[[#This Row],[Sale Price]]</f>
        <v>0</v>
      </c>
    </row>
    <row r="77" spans="1:8">
      <c r="A77" t="s">
        <v>196</v>
      </c>
      <c r="B77" t="s">
        <v>130</v>
      </c>
      <c r="C77" t="s">
        <v>1098</v>
      </c>
      <c r="D77"/>
      <c r="E77"/>
      <c r="F77" s="16">
        <v>12.99</v>
      </c>
      <c r="G77" s="16">
        <v>0</v>
      </c>
      <c r="H77" s="16">
        <f>Table2[[#This Row],[ORDER QTY]]*Table2[[#This Row],[Sale Price]]</f>
        <v>0</v>
      </c>
    </row>
    <row r="78" spans="1:8">
      <c r="A78" t="s">
        <v>146</v>
      </c>
      <c r="B78" t="s">
        <v>147</v>
      </c>
      <c r="C78" t="s">
        <v>1099</v>
      </c>
      <c r="D78"/>
      <c r="E78"/>
      <c r="F78" s="16">
        <v>19.09</v>
      </c>
      <c r="G78" s="16">
        <f>Table2[[#This Row],[Cost  Price]]*1.25</f>
        <v>23.862500000000001</v>
      </c>
      <c r="H78" s="16">
        <f>Table2[[#This Row],[ORDER QTY]]*Table2[[#This Row],[Sale Price]]</f>
        <v>0</v>
      </c>
    </row>
    <row r="79" spans="1:8">
      <c r="A79" t="s">
        <v>148</v>
      </c>
      <c r="B79" t="s">
        <v>149</v>
      </c>
      <c r="C79" t="s">
        <v>152</v>
      </c>
      <c r="D79"/>
      <c r="E79"/>
      <c r="F79" s="16">
        <v>35.49</v>
      </c>
      <c r="G79" s="16">
        <f>Table2[[#This Row],[Cost  Price]]*1.25</f>
        <v>44.362500000000004</v>
      </c>
      <c r="H79" s="16">
        <f>Table2[[#This Row],[ORDER QTY]]*Table2[[#This Row],[Sale Price]]</f>
        <v>0</v>
      </c>
    </row>
    <row r="80" spans="1:8">
      <c r="A80" t="s">
        <v>120</v>
      </c>
      <c r="B80" t="s">
        <v>1100</v>
      </c>
      <c r="C80" t="s">
        <v>119</v>
      </c>
      <c r="D80"/>
      <c r="E80"/>
      <c r="F80" s="16">
        <v>14.99</v>
      </c>
      <c r="G80" s="16">
        <f>Table2[[#This Row],[Cost  Price]]*1.25</f>
        <v>18.737500000000001</v>
      </c>
      <c r="H80" s="16">
        <f>Table2[[#This Row],[ORDER QTY]]*Table2[[#This Row],[Sale Price]]</f>
        <v>0</v>
      </c>
    </row>
    <row r="81" spans="1:8">
      <c r="A81" t="s">
        <v>121</v>
      </c>
      <c r="B81" t="s">
        <v>1022</v>
      </c>
      <c r="C81" t="s">
        <v>119</v>
      </c>
      <c r="D81"/>
      <c r="E81"/>
      <c r="F81" s="16">
        <v>14.99</v>
      </c>
      <c r="G81" s="16">
        <f>Table2[[#This Row],[Cost  Price]]*1.25</f>
        <v>18.737500000000001</v>
      </c>
      <c r="H81" s="16">
        <f>Table2[[#This Row],[ORDER QTY]]*Table2[[#This Row],[Sale Price]]</f>
        <v>0</v>
      </c>
    </row>
    <row r="82" spans="1:8">
      <c r="A82" t="s">
        <v>122</v>
      </c>
      <c r="B82" t="s">
        <v>123</v>
      </c>
      <c r="C82" t="s">
        <v>127</v>
      </c>
      <c r="D82"/>
      <c r="E82" t="s">
        <v>124</v>
      </c>
      <c r="F82" s="16">
        <v>9.2899999999999991</v>
      </c>
      <c r="G82" s="16">
        <f>Table2[[#This Row],[Cost  Price]]*1.25</f>
        <v>11.612499999999999</v>
      </c>
      <c r="H82" s="16">
        <f>Table2[[#This Row],[ORDER QTY]]*Table2[[#This Row],[Sale Price]]</f>
        <v>0</v>
      </c>
    </row>
    <row r="83" spans="1:8">
      <c r="A83" t="s">
        <v>125</v>
      </c>
      <c r="B83" t="s">
        <v>126</v>
      </c>
      <c r="C83" t="s">
        <v>119</v>
      </c>
      <c r="D83"/>
      <c r="E83"/>
      <c r="F83" s="16">
        <v>14.99</v>
      </c>
      <c r="G83" s="16">
        <f>Table2[[#This Row],[Cost  Price]]*1.25</f>
        <v>18.737500000000001</v>
      </c>
      <c r="H83" s="16">
        <f>Table2[[#This Row],[ORDER QTY]]*Table2[[#This Row],[Sale Price]]</f>
        <v>0</v>
      </c>
    </row>
    <row r="84" spans="1:8">
      <c r="A84" t="s">
        <v>128</v>
      </c>
      <c r="B84" t="s">
        <v>131</v>
      </c>
      <c r="C84" t="s">
        <v>119</v>
      </c>
      <c r="D84"/>
      <c r="E84"/>
      <c r="F84" s="16">
        <v>14.99</v>
      </c>
      <c r="G84" s="16">
        <f>Table2[[#This Row],[Cost  Price]]*1.25</f>
        <v>18.737500000000001</v>
      </c>
      <c r="H84" s="16">
        <f>Table2[[#This Row],[ORDER QTY]]*Table2[[#This Row],[Sale Price]]</f>
        <v>0</v>
      </c>
    </row>
    <row r="85" spans="1:8">
      <c r="A85" t="s">
        <v>129</v>
      </c>
      <c r="B85" t="s">
        <v>1023</v>
      </c>
      <c r="C85" t="s">
        <v>158</v>
      </c>
      <c r="D85"/>
      <c r="E85"/>
      <c r="F85" s="16">
        <v>10.99</v>
      </c>
      <c r="G85" s="16">
        <f>Table2[[#This Row],[Cost  Price]]*1.25</f>
        <v>13.737500000000001</v>
      </c>
      <c r="H85" s="16">
        <f>Table2[[#This Row],[ORDER QTY]]*Table2[[#This Row],[Sale Price]]</f>
        <v>0</v>
      </c>
    </row>
    <row r="86" spans="1:8">
      <c r="A86" t="s">
        <v>132</v>
      </c>
      <c r="B86" t="s">
        <v>133</v>
      </c>
      <c r="C86" t="s">
        <v>119</v>
      </c>
      <c r="D86"/>
      <c r="E86"/>
      <c r="F86" s="16">
        <v>14.99</v>
      </c>
      <c r="G86" s="16">
        <f>Table2[[#This Row],[Cost  Price]]*1.25</f>
        <v>18.737500000000001</v>
      </c>
      <c r="H86" s="16">
        <f>Table2[[#This Row],[ORDER QTY]]*Table2[[#This Row],[Sale Price]]</f>
        <v>0</v>
      </c>
    </row>
    <row r="87" spans="1:8">
      <c r="A87" t="s">
        <v>134</v>
      </c>
      <c r="B87" t="s">
        <v>135</v>
      </c>
      <c r="C87" t="s">
        <v>119</v>
      </c>
      <c r="D87"/>
      <c r="E87"/>
      <c r="F87" s="16">
        <v>14.99</v>
      </c>
      <c r="G87" s="16">
        <f>Table2[[#This Row],[Cost  Price]]*1.25</f>
        <v>18.737500000000001</v>
      </c>
      <c r="H87" s="16">
        <f>Table2[[#This Row],[ORDER QTY]]*Table2[[#This Row],[Sale Price]]</f>
        <v>0</v>
      </c>
    </row>
    <row r="88" spans="1:8">
      <c r="A88" t="s">
        <v>136</v>
      </c>
      <c r="B88" t="s">
        <v>1101</v>
      </c>
      <c r="C88" t="s">
        <v>137</v>
      </c>
      <c r="D88"/>
      <c r="E88"/>
      <c r="F88" s="16">
        <v>14.99</v>
      </c>
      <c r="G88" s="16">
        <f>Table2[[#This Row],[Cost  Price]]*1.25</f>
        <v>18.737500000000001</v>
      </c>
      <c r="H88" s="16">
        <f>Table2[[#This Row],[ORDER QTY]]*Table2[[#This Row],[Sale Price]]</f>
        <v>0</v>
      </c>
    </row>
    <row r="89" spans="1:8">
      <c r="A89" t="s">
        <v>138</v>
      </c>
      <c r="B89" t="s">
        <v>139</v>
      </c>
      <c r="C89" t="s">
        <v>119</v>
      </c>
      <c r="D89"/>
      <c r="E89"/>
      <c r="F89" s="16">
        <v>14.99</v>
      </c>
      <c r="G89" s="16">
        <f>Table2[[#This Row],[Cost  Price]]*1.25</f>
        <v>18.737500000000001</v>
      </c>
      <c r="H89" s="16">
        <f>Table2[[#This Row],[ORDER QTY]]*Table2[[#This Row],[Sale Price]]</f>
        <v>0</v>
      </c>
    </row>
    <row r="90" spans="1:8">
      <c r="A90" t="s">
        <v>140</v>
      </c>
      <c r="B90" t="s">
        <v>141</v>
      </c>
      <c r="C90" t="s">
        <v>137</v>
      </c>
      <c r="D90"/>
      <c r="E90"/>
      <c r="F90" s="16">
        <v>29.99</v>
      </c>
      <c r="G90" s="16">
        <f>Table2[[#This Row],[Cost  Price]]*1.25</f>
        <v>37.487499999999997</v>
      </c>
      <c r="H90" s="16">
        <f>Table2[[#This Row],[ORDER QTY]]*Table2[[#This Row],[Sale Price]]</f>
        <v>0</v>
      </c>
    </row>
    <row r="91" spans="1:8">
      <c r="A91" t="s">
        <v>142</v>
      </c>
      <c r="B91" t="s">
        <v>143</v>
      </c>
      <c r="C91" t="s">
        <v>119</v>
      </c>
      <c r="D91"/>
      <c r="E91"/>
      <c r="F91" s="16">
        <v>14.99</v>
      </c>
      <c r="G91" s="16">
        <f>Table2[[#This Row],[Cost  Price]]*1.25</f>
        <v>18.737500000000001</v>
      </c>
      <c r="H91" s="16">
        <f>Table2[[#This Row],[ORDER QTY]]*Table2[[#This Row],[Sale Price]]</f>
        <v>0</v>
      </c>
    </row>
    <row r="92" spans="1:8">
      <c r="A92" t="s">
        <v>144</v>
      </c>
      <c r="B92" t="s">
        <v>145</v>
      </c>
      <c r="C92" t="s">
        <v>137</v>
      </c>
      <c r="D92"/>
      <c r="E92"/>
      <c r="F92" s="16">
        <v>4.49</v>
      </c>
      <c r="G92" s="16">
        <f>Table2[[#This Row],[Cost  Price]]*1.25</f>
        <v>5.6125000000000007</v>
      </c>
      <c r="H92" s="16">
        <f>Table2[[#This Row],[ORDER QTY]]*Table2[[#This Row],[Sale Price]]</f>
        <v>0</v>
      </c>
    </row>
    <row r="93" spans="1:8">
      <c r="A93" t="s">
        <v>150</v>
      </c>
      <c r="B93" t="s">
        <v>1102</v>
      </c>
      <c r="C93" t="s">
        <v>1103</v>
      </c>
      <c r="D93"/>
      <c r="E93"/>
      <c r="F93" s="16">
        <v>17.989999999999998</v>
      </c>
      <c r="G93" s="16">
        <f>Table2[[#This Row],[Cost  Price]]*1.25</f>
        <v>22.487499999999997</v>
      </c>
      <c r="H93" s="16">
        <f>Table2[[#This Row],[ORDER QTY]]*Table2[[#This Row],[Sale Price]]</f>
        <v>0</v>
      </c>
    </row>
    <row r="94" spans="1:8">
      <c r="A94" t="s">
        <v>151</v>
      </c>
      <c r="B94" t="s">
        <v>1104</v>
      </c>
      <c r="C94" t="s">
        <v>1103</v>
      </c>
      <c r="D94"/>
      <c r="E94"/>
      <c r="F94" s="16">
        <v>17.989999999999998</v>
      </c>
      <c r="G94" s="16">
        <f>Table2[[#This Row],[Cost  Price]]*1.25</f>
        <v>22.487499999999997</v>
      </c>
      <c r="H94" s="16">
        <f>Table2[[#This Row],[ORDER QTY]]*Table2[[#This Row],[Sale Price]]</f>
        <v>0</v>
      </c>
    </row>
    <row r="95" spans="1:8">
      <c r="A95" s="29"/>
      <c r="B95" s="29" t="s">
        <v>155</v>
      </c>
      <c r="C95" s="29"/>
      <c r="D95" s="29"/>
      <c r="E95" s="29"/>
      <c r="F95" s="30"/>
      <c r="G95" s="30"/>
      <c r="H95" s="30"/>
    </row>
    <row r="96" spans="1:8">
      <c r="A96" t="s">
        <v>156</v>
      </c>
      <c r="B96" t="s">
        <v>157</v>
      </c>
      <c r="C96" t="s">
        <v>158</v>
      </c>
      <c r="D96"/>
      <c r="E96"/>
      <c r="F96" s="16">
        <v>20.49</v>
      </c>
      <c r="G96" s="16">
        <f>Table2[[#This Row],[Cost  Price]]*1.25</f>
        <v>25.612499999999997</v>
      </c>
      <c r="H96" s="16">
        <f>Table2[[#This Row],[ORDER QTY]]*Table2[[#This Row],[Sale Price]]</f>
        <v>0</v>
      </c>
    </row>
    <row r="97" spans="1:8">
      <c r="A97" t="s">
        <v>159</v>
      </c>
      <c r="B97" t="s">
        <v>160</v>
      </c>
      <c r="C97" t="s">
        <v>153</v>
      </c>
      <c r="D97"/>
      <c r="E97"/>
      <c r="F97" s="16">
        <v>15.79</v>
      </c>
      <c r="G97" s="16">
        <f>Table2[[#This Row],[Cost  Price]]*1.25</f>
        <v>19.737499999999997</v>
      </c>
      <c r="H97" s="16">
        <f>Table2[[#This Row],[ORDER QTY]]*Table2[[#This Row],[Sale Price]]</f>
        <v>0</v>
      </c>
    </row>
    <row r="98" spans="1:8">
      <c r="A98" t="s">
        <v>161</v>
      </c>
      <c r="B98" t="s">
        <v>162</v>
      </c>
      <c r="C98" t="s">
        <v>153</v>
      </c>
      <c r="D98"/>
      <c r="E98"/>
      <c r="F98" s="16">
        <v>14.99</v>
      </c>
      <c r="G98" s="16">
        <f>Table2[[#This Row],[Cost  Price]]*1.25</f>
        <v>18.737500000000001</v>
      </c>
      <c r="H98" s="16">
        <f>Table2[[#This Row],[ORDER QTY]]*Table2[[#This Row],[Sale Price]]</f>
        <v>0</v>
      </c>
    </row>
    <row r="99" spans="1:8">
      <c r="A99" t="s">
        <v>163</v>
      </c>
      <c r="B99" t="s">
        <v>164</v>
      </c>
      <c r="C99" t="s">
        <v>158</v>
      </c>
      <c r="D99"/>
      <c r="E99"/>
      <c r="F99" s="16">
        <v>16.79</v>
      </c>
      <c r="G99" s="16">
        <f>Table2[[#This Row],[Cost  Price]]*1.25</f>
        <v>20.987499999999997</v>
      </c>
      <c r="H99" s="16">
        <f>Table2[[#This Row],[ORDER QTY]]*Table2[[#This Row],[Sale Price]]</f>
        <v>0</v>
      </c>
    </row>
    <row r="100" spans="1:8">
      <c r="A100" t="s">
        <v>165</v>
      </c>
      <c r="B100" t="s">
        <v>1106</v>
      </c>
      <c r="C100" t="s">
        <v>166</v>
      </c>
      <c r="D100"/>
      <c r="E100"/>
      <c r="F100" s="16">
        <v>15.99</v>
      </c>
      <c r="G100" s="16">
        <f>Table2[[#This Row],[Cost  Price]]*1.25</f>
        <v>19.987500000000001</v>
      </c>
      <c r="H100" s="16">
        <f>Table2[[#This Row],[ORDER QTY]]*Table2[[#This Row],[Sale Price]]</f>
        <v>0</v>
      </c>
    </row>
    <row r="101" spans="1:8">
      <c r="A101" t="s">
        <v>167</v>
      </c>
      <c r="B101" t="s">
        <v>1105</v>
      </c>
      <c r="C101" t="s">
        <v>168</v>
      </c>
      <c r="D101"/>
      <c r="E101"/>
      <c r="F101" s="16">
        <v>14.99</v>
      </c>
      <c r="G101" s="16">
        <f>Table2[[#This Row],[Cost  Price]]*1.25</f>
        <v>18.737500000000001</v>
      </c>
      <c r="H101" s="16">
        <f>Table2[[#This Row],[ORDER QTY]]*Table2[[#This Row],[Sale Price]]</f>
        <v>0</v>
      </c>
    </row>
    <row r="102" spans="1:8">
      <c r="A102" t="s">
        <v>169</v>
      </c>
      <c r="B102" t="s">
        <v>1105</v>
      </c>
      <c r="C102" t="s">
        <v>170</v>
      </c>
      <c r="D102"/>
      <c r="E102"/>
      <c r="F102" s="16">
        <v>8.99</v>
      </c>
      <c r="G102" s="16">
        <f>Table2[[#This Row],[Cost  Price]]*1.25</f>
        <v>11.237500000000001</v>
      </c>
      <c r="H102" s="16">
        <f>Table2[[#This Row],[ORDER QTY]]*Table2[[#This Row],[Sale Price]]</f>
        <v>0</v>
      </c>
    </row>
    <row r="103" spans="1:8">
      <c r="A103" t="s">
        <v>171</v>
      </c>
      <c r="B103" t="s">
        <v>172</v>
      </c>
      <c r="C103" t="s">
        <v>137</v>
      </c>
      <c r="D103"/>
      <c r="E103"/>
      <c r="F103" s="16">
        <v>1.99</v>
      </c>
      <c r="G103" s="16">
        <f>Table2[[#This Row],[Cost  Price]]*1.25</f>
        <v>2.4874999999999998</v>
      </c>
      <c r="H103" s="16">
        <f>Table2[[#This Row],[ORDER QTY]]*Table2[[#This Row],[Sale Price]]</f>
        <v>0</v>
      </c>
    </row>
    <row r="104" spans="1:8">
      <c r="A104" t="s">
        <v>173</v>
      </c>
      <c r="B104" t="s">
        <v>174</v>
      </c>
      <c r="C104" t="s">
        <v>1107</v>
      </c>
      <c r="D104"/>
      <c r="E104"/>
      <c r="F104" s="16">
        <v>17.989999999999998</v>
      </c>
      <c r="G104" s="16">
        <f>Table2[[#This Row],[Cost  Price]]*1.25</f>
        <v>22.487499999999997</v>
      </c>
      <c r="H104" s="16">
        <f>Table2[[#This Row],[ORDER QTY]]*Table2[[#This Row],[Sale Price]]</f>
        <v>0</v>
      </c>
    </row>
    <row r="105" spans="1:8">
      <c r="A105" t="s">
        <v>177</v>
      </c>
      <c r="B105" t="s">
        <v>1108</v>
      </c>
      <c r="C105" t="s">
        <v>137</v>
      </c>
      <c r="D105"/>
      <c r="E105"/>
      <c r="F105" s="16">
        <v>5.49</v>
      </c>
      <c r="G105" s="16">
        <f>Table2[[#This Row],[Cost  Price]]*1.25</f>
        <v>6.8625000000000007</v>
      </c>
      <c r="H105" s="16">
        <f>Table2[[#This Row],[ORDER QTY]]*Table2[[#This Row],[Sale Price]]</f>
        <v>0</v>
      </c>
    </row>
    <row r="106" spans="1:8">
      <c r="A106" t="s">
        <v>178</v>
      </c>
      <c r="B106" t="s">
        <v>1109</v>
      </c>
      <c r="C106" t="s">
        <v>179</v>
      </c>
      <c r="D106"/>
      <c r="E106"/>
      <c r="F106" s="16">
        <v>59.99</v>
      </c>
      <c r="G106" s="16">
        <f>Table2[[#This Row],[Cost  Price]]*1.25</f>
        <v>74.987499999999997</v>
      </c>
      <c r="H106" s="16">
        <f>Table2[[#This Row],[ORDER QTY]]*Table2[[#This Row],[Sale Price]]</f>
        <v>0</v>
      </c>
    </row>
    <row r="107" spans="1:8">
      <c r="A107" t="s">
        <v>180</v>
      </c>
      <c r="B107" t="s">
        <v>181</v>
      </c>
      <c r="C107" t="s">
        <v>137</v>
      </c>
      <c r="D107"/>
      <c r="E107"/>
      <c r="F107" s="16">
        <v>6.49</v>
      </c>
      <c r="G107" s="16">
        <f>Table2[[#This Row],[Cost  Price]]*1.25</f>
        <v>8.1125000000000007</v>
      </c>
      <c r="H107" s="16">
        <f>Table2[[#This Row],[ORDER QTY]]*Table2[[#This Row],[Sale Price]]</f>
        <v>0</v>
      </c>
    </row>
    <row r="108" spans="1:8">
      <c r="A108" t="s">
        <v>182</v>
      </c>
      <c r="B108" t="s">
        <v>181</v>
      </c>
      <c r="C108" t="s">
        <v>168</v>
      </c>
      <c r="D108"/>
      <c r="E108"/>
      <c r="F108" s="16">
        <v>62.99</v>
      </c>
      <c r="G108" s="16">
        <f>Table2[[#This Row],[Cost  Price]]*1.25</f>
        <v>78.737499999999997</v>
      </c>
      <c r="H108" s="16">
        <f>Table2[[#This Row],[ORDER QTY]]*Table2[[#This Row],[Sale Price]]</f>
        <v>0</v>
      </c>
    </row>
    <row r="109" spans="1:8">
      <c r="A109" t="s">
        <v>183</v>
      </c>
      <c r="B109" t="s">
        <v>184</v>
      </c>
      <c r="C109" t="s">
        <v>1110</v>
      </c>
      <c r="D109"/>
      <c r="E109"/>
      <c r="F109" s="16">
        <v>6.99</v>
      </c>
      <c r="G109" s="16">
        <f>Table2[[#This Row],[Cost  Price]]*1.25</f>
        <v>8.7375000000000007</v>
      </c>
      <c r="H109" s="16">
        <f>Table2[[#This Row],[ORDER QTY]]*Table2[[#This Row],[Sale Price]]</f>
        <v>0</v>
      </c>
    </row>
    <row r="110" spans="1:8">
      <c r="A110" t="s">
        <v>213</v>
      </c>
      <c r="B110" t="s">
        <v>1111</v>
      </c>
      <c r="C110" t="s">
        <v>1075</v>
      </c>
      <c r="D110"/>
      <c r="E110"/>
      <c r="F110" s="16">
        <v>9.49</v>
      </c>
      <c r="G110" s="16">
        <f>Table2[[#This Row],[Cost  Price]]*1.25</f>
        <v>11.862500000000001</v>
      </c>
      <c r="H110" s="16">
        <f>Table2[[#This Row],[ORDER QTY]]*Table2[[#This Row],[Sale Price]]</f>
        <v>0</v>
      </c>
    </row>
    <row r="111" spans="1:8">
      <c r="A111" t="s">
        <v>214</v>
      </c>
      <c r="B111" t="s">
        <v>215</v>
      </c>
      <c r="C111" t="s">
        <v>1076</v>
      </c>
      <c r="D111"/>
      <c r="E111"/>
      <c r="F111" s="16">
        <v>10.29</v>
      </c>
      <c r="G111" s="16">
        <f>Table2[[#This Row],[Cost  Price]]*1.25</f>
        <v>12.862499999999999</v>
      </c>
      <c r="H111" s="16">
        <f>Table2[[#This Row],[ORDER QTY]]*Table2[[#This Row],[Sale Price]]</f>
        <v>0</v>
      </c>
    </row>
    <row r="112" spans="1:8">
      <c r="A112" t="s">
        <v>216</v>
      </c>
      <c r="B112" t="s">
        <v>217</v>
      </c>
      <c r="C112" t="s">
        <v>1077</v>
      </c>
      <c r="D112"/>
      <c r="E112"/>
      <c r="F112" s="16">
        <v>12.49</v>
      </c>
      <c r="G112" s="16">
        <f>Table2[[#This Row],[Cost  Price]]*1.25</f>
        <v>15.612500000000001</v>
      </c>
      <c r="H112" s="16">
        <f>Table2[[#This Row],[ORDER QTY]]*Table2[[#This Row],[Sale Price]]</f>
        <v>0</v>
      </c>
    </row>
    <row r="113" spans="1:8">
      <c r="A113" t="s">
        <v>218</v>
      </c>
      <c r="B113" t="s">
        <v>219</v>
      </c>
      <c r="C113" t="s">
        <v>119</v>
      </c>
      <c r="D113"/>
      <c r="E113"/>
      <c r="F113" s="16">
        <v>15.99</v>
      </c>
      <c r="G113" s="16">
        <f>Table2[[#This Row],[Cost  Price]]*1.25</f>
        <v>19.987500000000001</v>
      </c>
      <c r="H113" s="16">
        <f>Table2[[#This Row],[ORDER QTY]]*Table2[[#This Row],[Sale Price]]</f>
        <v>0</v>
      </c>
    </row>
    <row r="114" spans="1:8">
      <c r="A114" s="29"/>
      <c r="B114" s="29" t="s">
        <v>185</v>
      </c>
      <c r="C114" s="29"/>
      <c r="D114" s="29"/>
      <c r="E114" s="29"/>
      <c r="F114" s="30"/>
      <c r="G114" s="30"/>
      <c r="H114" s="30"/>
    </row>
    <row r="115" spans="1:8">
      <c r="A115" t="s">
        <v>186</v>
      </c>
      <c r="B115" t="s">
        <v>187</v>
      </c>
      <c r="C115" t="s">
        <v>1112</v>
      </c>
      <c r="D115"/>
      <c r="E115"/>
      <c r="F115" s="16">
        <v>16.09</v>
      </c>
      <c r="G115" s="16">
        <f>Table2[[#This Row],[Cost  Price]]*1.25</f>
        <v>20.112500000000001</v>
      </c>
      <c r="H115" s="16">
        <f>Table2[[#This Row],[ORDER QTY]]*Table2[[#This Row],[Sale Price]]</f>
        <v>0</v>
      </c>
    </row>
    <row r="116" spans="1:8">
      <c r="A116" t="s">
        <v>188</v>
      </c>
      <c r="B116" t="s">
        <v>189</v>
      </c>
      <c r="C116" t="s">
        <v>190</v>
      </c>
      <c r="D116"/>
      <c r="E116"/>
      <c r="F116" s="16">
        <v>20.29</v>
      </c>
      <c r="G116" s="16">
        <f>Table2[[#This Row],[Cost  Price]]*1.25</f>
        <v>25.362499999999997</v>
      </c>
      <c r="H116" s="16">
        <f>Table2[[#This Row],[ORDER QTY]]*Table2[[#This Row],[Sale Price]]</f>
        <v>0</v>
      </c>
    </row>
    <row r="117" spans="1:8">
      <c r="A117" t="s">
        <v>191</v>
      </c>
      <c r="B117" t="s">
        <v>192</v>
      </c>
      <c r="C117" t="s">
        <v>193</v>
      </c>
      <c r="D117"/>
      <c r="E117"/>
      <c r="F117" s="16">
        <v>11.79</v>
      </c>
      <c r="G117" s="16">
        <f>Table2[[#This Row],[Cost  Price]]*1.25</f>
        <v>14.737499999999999</v>
      </c>
      <c r="H117" s="16">
        <f>Table2[[#This Row],[ORDER QTY]]*Table2[[#This Row],[Sale Price]]</f>
        <v>0</v>
      </c>
    </row>
    <row r="118" spans="1:8">
      <c r="A118" t="s">
        <v>194</v>
      </c>
      <c r="B118" t="s">
        <v>195</v>
      </c>
      <c r="C118" t="s">
        <v>1113</v>
      </c>
      <c r="D118"/>
      <c r="E118"/>
      <c r="F118" s="16">
        <v>13.29</v>
      </c>
      <c r="G118" s="16">
        <f>Table2[[#This Row],[Cost  Price]]*1.25</f>
        <v>16.612499999999997</v>
      </c>
      <c r="H118" s="16">
        <f>Table2[[#This Row],[ORDER QTY]]*Table2[[#This Row],[Sale Price]]</f>
        <v>0</v>
      </c>
    </row>
    <row r="119" spans="1:8">
      <c r="A119" t="s">
        <v>196</v>
      </c>
      <c r="B119" t="s">
        <v>1025</v>
      </c>
      <c r="C119" t="s">
        <v>193</v>
      </c>
      <c r="D119"/>
      <c r="E119"/>
      <c r="F119" s="16">
        <v>22.49</v>
      </c>
      <c r="G119" s="16">
        <f>Table2[[#This Row],[Cost  Price]]*1.25</f>
        <v>28.112499999999997</v>
      </c>
      <c r="H119" s="16">
        <f>Table2[[#This Row],[ORDER QTY]]*Table2[[#This Row],[Sale Price]]</f>
        <v>0</v>
      </c>
    </row>
    <row r="120" spans="1:8">
      <c r="A120" t="s">
        <v>197</v>
      </c>
      <c r="B120" t="s">
        <v>198</v>
      </c>
      <c r="C120" t="s">
        <v>199</v>
      </c>
      <c r="D120"/>
      <c r="E120"/>
      <c r="F120" s="16">
        <v>27.49</v>
      </c>
      <c r="G120" s="16">
        <f>Table2[[#This Row],[Cost  Price]]*1.25</f>
        <v>34.362499999999997</v>
      </c>
      <c r="H120" s="16">
        <f>Table2[[#This Row],[ORDER QTY]]*Table2[[#This Row],[Sale Price]]</f>
        <v>0</v>
      </c>
    </row>
    <row r="121" spans="1:8">
      <c r="A121" t="s">
        <v>200</v>
      </c>
      <c r="B121" t="s">
        <v>201</v>
      </c>
      <c r="C121" t="s">
        <v>202</v>
      </c>
      <c r="D121"/>
      <c r="E121"/>
      <c r="F121" s="16">
        <v>11.99</v>
      </c>
      <c r="G121" s="16">
        <f>Table2[[#This Row],[Cost  Price]]*1.25</f>
        <v>14.987500000000001</v>
      </c>
      <c r="H121" s="16">
        <f>Table2[[#This Row],[ORDER QTY]]*Table2[[#This Row],[Sale Price]]</f>
        <v>0</v>
      </c>
    </row>
    <row r="122" spans="1:8">
      <c r="A122" t="s">
        <v>203</v>
      </c>
      <c r="B122" t="s">
        <v>204</v>
      </c>
      <c r="C122" t="s">
        <v>193</v>
      </c>
      <c r="D122"/>
      <c r="E122"/>
      <c r="F122" s="16">
        <v>28.49</v>
      </c>
      <c r="G122" s="16">
        <f>Table2[[#This Row],[Cost  Price]]*1.25</f>
        <v>35.612499999999997</v>
      </c>
      <c r="H122" s="16">
        <f>Table2[[#This Row],[ORDER QTY]]*Table2[[#This Row],[Sale Price]]</f>
        <v>0</v>
      </c>
    </row>
    <row r="123" spans="1:8">
      <c r="A123" t="s">
        <v>205</v>
      </c>
      <c r="B123" t="s">
        <v>206</v>
      </c>
      <c r="C123" t="s">
        <v>207</v>
      </c>
      <c r="D123"/>
      <c r="E123"/>
      <c r="F123" s="16">
        <v>27.29</v>
      </c>
      <c r="G123" s="16">
        <f>Table2[[#This Row],[Cost  Price]]*1.25</f>
        <v>34.112499999999997</v>
      </c>
      <c r="H123" s="16">
        <f>Table2[[#This Row],[ORDER QTY]]*Table2[[#This Row],[Sale Price]]</f>
        <v>0</v>
      </c>
    </row>
    <row r="124" spans="1:8">
      <c r="A124" t="s">
        <v>208</v>
      </c>
      <c r="B124" t="s">
        <v>553</v>
      </c>
      <c r="C124" t="s">
        <v>176</v>
      </c>
      <c r="D124"/>
      <c r="E124"/>
      <c r="F124" s="16">
        <v>7.99</v>
      </c>
      <c r="G124" s="16">
        <f>Table2[[#This Row],[Cost  Price]]*1.25</f>
        <v>9.9875000000000007</v>
      </c>
      <c r="H124" s="16">
        <f>Table2[[#This Row],[ORDER QTY]]*Table2[[#This Row],[Sale Price]]</f>
        <v>0</v>
      </c>
    </row>
    <row r="125" spans="1:8">
      <c r="A125" t="s">
        <v>220</v>
      </c>
      <c r="B125" t="s">
        <v>221</v>
      </c>
      <c r="C125" t="s">
        <v>202</v>
      </c>
      <c r="D125"/>
      <c r="E125"/>
      <c r="F125" s="16">
        <v>6.49</v>
      </c>
      <c r="G125" s="16">
        <f>Table2[[#This Row],[Cost  Price]]*1.25</f>
        <v>8.1125000000000007</v>
      </c>
      <c r="H125" s="16">
        <f>Table2[[#This Row],[ORDER QTY]]*Table2[[#This Row],[Sale Price]]</f>
        <v>0</v>
      </c>
    </row>
    <row r="126" spans="1:8">
      <c r="A126" t="s">
        <v>222</v>
      </c>
      <c r="B126" t="s">
        <v>1114</v>
      </c>
      <c r="C126" t="s">
        <v>176</v>
      </c>
      <c r="D126"/>
      <c r="E126"/>
      <c r="F126" s="16">
        <v>6.79</v>
      </c>
      <c r="G126" s="16">
        <f>Table2[[#This Row],[Cost  Price]]*1.25</f>
        <v>8.4875000000000007</v>
      </c>
      <c r="H126" s="16">
        <f>Table2[[#This Row],[ORDER QTY]]*Table2[[#This Row],[Sale Price]]</f>
        <v>0</v>
      </c>
    </row>
    <row r="127" spans="1:8">
      <c r="A127" t="s">
        <v>223</v>
      </c>
      <c r="B127" t="s">
        <v>224</v>
      </c>
      <c r="C127" t="s">
        <v>89</v>
      </c>
      <c r="D127"/>
      <c r="E127"/>
      <c r="F127" s="16">
        <v>13.29</v>
      </c>
      <c r="G127" s="16">
        <f>Table2[[#This Row],[Cost  Price]]*1.25</f>
        <v>16.612499999999997</v>
      </c>
      <c r="H127" s="16">
        <f>Table2[[#This Row],[ORDER QTY]]*Table2[[#This Row],[Sale Price]]</f>
        <v>0</v>
      </c>
    </row>
    <row r="128" spans="1:8">
      <c r="A128" t="s">
        <v>211</v>
      </c>
      <c r="B128" t="s">
        <v>212</v>
      </c>
      <c r="C128" t="s">
        <v>1078</v>
      </c>
      <c r="D128"/>
      <c r="E128"/>
      <c r="F128" s="16">
        <v>15.29</v>
      </c>
      <c r="G128" s="16">
        <f>Table2[[#This Row],[Cost  Price]]*1.25</f>
        <v>19.112499999999997</v>
      </c>
      <c r="H128" s="16">
        <f>Table2[[#This Row],[ORDER QTY]]*Table2[[#This Row],[Sale Price]]</f>
        <v>0</v>
      </c>
    </row>
    <row r="129" spans="1:8">
      <c r="A129" s="29"/>
      <c r="B129" s="29" t="s">
        <v>597</v>
      </c>
      <c r="C129" s="29"/>
      <c r="D129" s="29"/>
      <c r="E129" s="29"/>
      <c r="F129" s="30"/>
      <c r="G129" s="30"/>
      <c r="H129" s="30"/>
    </row>
    <row r="130" spans="1:8">
      <c r="A130" t="s">
        <v>598</v>
      </c>
      <c r="B130" t="s">
        <v>599</v>
      </c>
      <c r="C130" t="s">
        <v>168</v>
      </c>
      <c r="D130"/>
      <c r="E130"/>
      <c r="F130" s="16">
        <v>29.49</v>
      </c>
      <c r="G130" s="16">
        <f>Table2[[#This Row],[Cost  Price]]*1.25</f>
        <v>36.862499999999997</v>
      </c>
      <c r="H130" s="16">
        <f>Table2[[#This Row],[ORDER QTY]]*Table2[[#This Row],[Sale Price]]</f>
        <v>0</v>
      </c>
    </row>
    <row r="131" spans="1:8">
      <c r="A131" t="s">
        <v>600</v>
      </c>
      <c r="B131" t="s">
        <v>601</v>
      </c>
      <c r="C131" t="s">
        <v>168</v>
      </c>
      <c r="D131"/>
      <c r="E131"/>
      <c r="F131" s="16">
        <v>31.49</v>
      </c>
      <c r="G131" s="16">
        <f>Table2[[#This Row],[Cost  Price]]*1.25</f>
        <v>39.362499999999997</v>
      </c>
      <c r="H131" s="16">
        <f>Table2[[#This Row],[ORDER QTY]]*Table2[[#This Row],[Sale Price]]</f>
        <v>0</v>
      </c>
    </row>
    <row r="132" spans="1:8">
      <c r="A132" t="s">
        <v>602</v>
      </c>
      <c r="B132" t="s">
        <v>603</v>
      </c>
      <c r="C132" t="s">
        <v>604</v>
      </c>
      <c r="D132"/>
      <c r="E132"/>
      <c r="F132" s="16">
        <v>14.99</v>
      </c>
      <c r="G132" s="16">
        <f>Table2[[#This Row],[Cost  Price]]*1.25</f>
        <v>18.737500000000001</v>
      </c>
      <c r="H132" s="16">
        <f>Table2[[#This Row],[ORDER QTY]]*Table2[[#This Row],[Sale Price]]</f>
        <v>0</v>
      </c>
    </row>
    <row r="133" spans="1:8">
      <c r="A133" t="s">
        <v>605</v>
      </c>
      <c r="B133" t="s">
        <v>606</v>
      </c>
      <c r="C133" t="s">
        <v>105</v>
      </c>
      <c r="D133"/>
      <c r="E133"/>
      <c r="F133" s="16">
        <v>10.49</v>
      </c>
      <c r="G133" s="16">
        <f>Table2[[#This Row],[Cost  Price]]*1.25</f>
        <v>13.112500000000001</v>
      </c>
      <c r="H133" s="16">
        <f>Table2[[#This Row],[ORDER QTY]]*Table2[[#This Row],[Sale Price]]</f>
        <v>0</v>
      </c>
    </row>
    <row r="134" spans="1:8">
      <c r="A134" t="s">
        <v>607</v>
      </c>
      <c r="B134" t="s">
        <v>608</v>
      </c>
      <c r="C134" t="s">
        <v>168</v>
      </c>
      <c r="D134"/>
      <c r="E134"/>
      <c r="F134" s="16">
        <v>45.99</v>
      </c>
      <c r="G134" s="16">
        <f>Table2[[#This Row],[Cost  Price]]*1.25</f>
        <v>57.487500000000004</v>
      </c>
      <c r="H134" s="16">
        <f>Table2[[#This Row],[ORDER QTY]]*Table2[[#This Row],[Sale Price]]</f>
        <v>0</v>
      </c>
    </row>
    <row r="135" spans="1:8">
      <c r="A135" t="s">
        <v>609</v>
      </c>
      <c r="B135" t="s">
        <v>1026</v>
      </c>
      <c r="C135" t="s">
        <v>168</v>
      </c>
      <c r="D135"/>
      <c r="E135"/>
      <c r="F135" s="16">
        <v>33.79</v>
      </c>
      <c r="G135" s="16">
        <f>Table2[[#This Row],[Cost  Price]]*1.25</f>
        <v>42.237499999999997</v>
      </c>
      <c r="H135" s="16">
        <f>Table2[[#This Row],[ORDER QTY]]*Table2[[#This Row],[Sale Price]]</f>
        <v>0</v>
      </c>
    </row>
    <row r="136" spans="1:8">
      <c r="A136" t="s">
        <v>610</v>
      </c>
      <c r="B136" t="s">
        <v>611</v>
      </c>
      <c r="C136" t="s">
        <v>105</v>
      </c>
      <c r="D136"/>
      <c r="E136"/>
      <c r="F136" s="16">
        <v>32.49</v>
      </c>
      <c r="G136" s="16">
        <f>Table2[[#This Row],[Cost  Price]]*1.25</f>
        <v>40.612500000000004</v>
      </c>
      <c r="H136" s="16">
        <f>Table2[[#This Row],[ORDER QTY]]*Table2[[#This Row],[Sale Price]]</f>
        <v>0</v>
      </c>
    </row>
    <row r="137" spans="1:8">
      <c r="A137" t="s">
        <v>612</v>
      </c>
      <c r="B137" t="s">
        <v>611</v>
      </c>
      <c r="C137" t="s">
        <v>1115</v>
      </c>
      <c r="D137"/>
      <c r="E137"/>
      <c r="F137" s="16">
        <v>28.49</v>
      </c>
      <c r="G137" s="16">
        <f>Table2[[#This Row],[Cost  Price]]*1.25</f>
        <v>35.612499999999997</v>
      </c>
      <c r="H137" s="16">
        <f>Table2[[#This Row],[ORDER QTY]]*Table2[[#This Row],[Sale Price]]</f>
        <v>0</v>
      </c>
    </row>
    <row r="138" spans="1:8">
      <c r="A138" s="29"/>
      <c r="B138" s="29" t="s">
        <v>225</v>
      </c>
      <c r="C138" s="29"/>
      <c r="D138" s="29"/>
      <c r="E138" s="29"/>
      <c r="F138" s="30"/>
      <c r="G138" s="30"/>
      <c r="H138" s="30"/>
    </row>
    <row r="139" spans="1:8">
      <c r="A139" t="s">
        <v>226</v>
      </c>
      <c r="B139" t="s">
        <v>1116</v>
      </c>
      <c r="C139" t="s">
        <v>111</v>
      </c>
      <c r="D139"/>
      <c r="E139"/>
      <c r="F139" s="16">
        <v>10.99</v>
      </c>
      <c r="G139" s="16">
        <f>Table2[[#This Row],[Cost  Price]]*1.25</f>
        <v>13.737500000000001</v>
      </c>
      <c r="H139" s="16">
        <f>Table2[[#This Row],[ORDER QTY]]*Table2[[#This Row],[Sale Price]]</f>
        <v>0</v>
      </c>
    </row>
    <row r="140" spans="1:8">
      <c r="A140" t="s">
        <v>228</v>
      </c>
      <c r="B140" t="s">
        <v>229</v>
      </c>
      <c r="C140" t="s">
        <v>209</v>
      </c>
      <c r="D140"/>
      <c r="E140"/>
      <c r="F140" s="16">
        <v>13.79</v>
      </c>
      <c r="G140" s="16">
        <f>Table2[[#This Row],[Cost  Price]]*1.25</f>
        <v>17.237499999999997</v>
      </c>
      <c r="H140" s="16">
        <f>Table2[[#This Row],[ORDER QTY]]*Table2[[#This Row],[Sale Price]]</f>
        <v>0</v>
      </c>
    </row>
    <row r="141" spans="1:8">
      <c r="A141" t="s">
        <v>230</v>
      </c>
      <c r="B141" t="s">
        <v>1117</v>
      </c>
      <c r="C141" t="s">
        <v>176</v>
      </c>
      <c r="D141"/>
      <c r="E141"/>
      <c r="F141" s="16">
        <v>14.99</v>
      </c>
      <c r="G141" s="16">
        <f>Table2[[#This Row],[Cost  Price]]*1.25</f>
        <v>18.737500000000001</v>
      </c>
      <c r="H141" s="16">
        <f>Table2[[#This Row],[ORDER QTY]]*Table2[[#This Row],[Sale Price]]</f>
        <v>0</v>
      </c>
    </row>
    <row r="142" spans="1:8">
      <c r="A142" t="s">
        <v>231</v>
      </c>
      <c r="B142" t="s">
        <v>1117</v>
      </c>
      <c r="C142" t="s">
        <v>232</v>
      </c>
      <c r="D142"/>
      <c r="E142"/>
      <c r="F142" s="16">
        <v>23.49</v>
      </c>
      <c r="G142" s="16">
        <f>Table2[[#This Row],[Cost  Price]]*1.25</f>
        <v>29.362499999999997</v>
      </c>
      <c r="H142" s="16">
        <f>Table2[[#This Row],[ORDER QTY]]*Table2[[#This Row],[Sale Price]]</f>
        <v>0</v>
      </c>
    </row>
    <row r="143" spans="1:8">
      <c r="A143" t="s">
        <v>233</v>
      </c>
      <c r="B143" t="s">
        <v>1118</v>
      </c>
      <c r="C143" t="s">
        <v>176</v>
      </c>
      <c r="D143"/>
      <c r="E143"/>
      <c r="F143" s="16">
        <v>7.99</v>
      </c>
      <c r="G143" s="16">
        <f>Table2[[#This Row],[Cost  Price]]*1.25</f>
        <v>9.9875000000000007</v>
      </c>
      <c r="H143" s="16">
        <f>Table2[[#This Row],[ORDER QTY]]*Table2[[#This Row],[Sale Price]]</f>
        <v>0</v>
      </c>
    </row>
    <row r="144" spans="1:8">
      <c r="A144" t="s">
        <v>235</v>
      </c>
      <c r="B144" t="s">
        <v>1120</v>
      </c>
      <c r="C144" t="s">
        <v>209</v>
      </c>
      <c r="D144"/>
      <c r="E144"/>
      <c r="F144" s="16">
        <v>13.99</v>
      </c>
      <c r="G144" s="16">
        <f>Table2[[#This Row],[Cost  Price]]*1.25</f>
        <v>17.487500000000001</v>
      </c>
      <c r="H144" s="16">
        <f>Table2[[#This Row],[ORDER QTY]]*Table2[[#This Row],[Sale Price]]</f>
        <v>0</v>
      </c>
    </row>
    <row r="145" spans="1:8">
      <c r="A145" t="s">
        <v>236</v>
      </c>
      <c r="B145" t="s">
        <v>1119</v>
      </c>
      <c r="C145" t="s">
        <v>234</v>
      </c>
      <c r="D145"/>
      <c r="E145"/>
      <c r="F145" s="16">
        <v>9.99</v>
      </c>
      <c r="G145" s="16">
        <f>Table2[[#This Row],[Cost  Price]]*1.25</f>
        <v>12.487500000000001</v>
      </c>
      <c r="H145" s="16">
        <f>Table2[[#This Row],[ORDER QTY]]*Table2[[#This Row],[Sale Price]]</f>
        <v>0</v>
      </c>
    </row>
    <row r="146" spans="1:8">
      <c r="A146" t="s">
        <v>237</v>
      </c>
      <c r="B146" t="s">
        <v>1121</v>
      </c>
      <c r="C146" t="s">
        <v>232</v>
      </c>
      <c r="D146"/>
      <c r="E146"/>
      <c r="F146" s="16">
        <v>16.989999999999998</v>
      </c>
      <c r="G146" s="16">
        <f>Table2[[#This Row],[Cost  Price]]*1.25</f>
        <v>21.237499999999997</v>
      </c>
      <c r="H146" s="16">
        <f>Table2[[#This Row],[ORDER QTY]]*Table2[[#This Row],[Sale Price]]</f>
        <v>0</v>
      </c>
    </row>
    <row r="147" spans="1:8">
      <c r="A147" t="s">
        <v>238</v>
      </c>
      <c r="B147" t="s">
        <v>1122</v>
      </c>
      <c r="C147" t="s">
        <v>209</v>
      </c>
      <c r="D147"/>
      <c r="E147"/>
      <c r="F147" s="16">
        <v>16.79</v>
      </c>
      <c r="G147" s="16">
        <f>Table2[[#This Row],[Cost  Price]]*1.25</f>
        <v>20.987499999999997</v>
      </c>
      <c r="H147" s="16">
        <f>Table2[[#This Row],[ORDER QTY]]*Table2[[#This Row],[Sale Price]]</f>
        <v>0</v>
      </c>
    </row>
    <row r="148" spans="1:8">
      <c r="A148" t="s">
        <v>239</v>
      </c>
      <c r="B148" t="s">
        <v>240</v>
      </c>
      <c r="C148" t="s">
        <v>176</v>
      </c>
      <c r="D148"/>
      <c r="E148"/>
      <c r="F148" s="16">
        <v>18.79</v>
      </c>
      <c r="G148" s="16">
        <f>Table2[[#This Row],[Cost  Price]]*1.25</f>
        <v>23.487499999999997</v>
      </c>
      <c r="H148" s="16">
        <f>Table2[[#This Row],[ORDER QTY]]*Table2[[#This Row],[Sale Price]]</f>
        <v>0</v>
      </c>
    </row>
    <row r="149" spans="1:8">
      <c r="A149" t="s">
        <v>241</v>
      </c>
      <c r="B149" t="s">
        <v>1123</v>
      </c>
      <c r="C149" t="s">
        <v>209</v>
      </c>
      <c r="D149"/>
      <c r="E149"/>
      <c r="F149" s="16">
        <v>13.79</v>
      </c>
      <c r="G149" s="16">
        <f>Table2[[#This Row],[Cost  Price]]*1.25</f>
        <v>17.237499999999997</v>
      </c>
      <c r="H149" s="16">
        <f>Table2[[#This Row],[ORDER QTY]]*Table2[[#This Row],[Sale Price]]</f>
        <v>0</v>
      </c>
    </row>
    <row r="150" spans="1:8">
      <c r="A150" t="s">
        <v>242</v>
      </c>
      <c r="B150" t="s">
        <v>1124</v>
      </c>
      <c r="C150" t="s">
        <v>111</v>
      </c>
      <c r="D150"/>
      <c r="E150"/>
      <c r="F150" s="16">
        <v>8.49</v>
      </c>
      <c r="G150" s="16">
        <f>Table2[[#This Row],[Cost  Price]]*1.25</f>
        <v>10.612500000000001</v>
      </c>
      <c r="H150" s="16">
        <f>Table2[[#This Row],[ORDER QTY]]*Table2[[#This Row],[Sale Price]]</f>
        <v>0</v>
      </c>
    </row>
    <row r="151" spans="1:8">
      <c r="A151" t="s">
        <v>243</v>
      </c>
      <c r="B151" t="s">
        <v>280</v>
      </c>
      <c r="C151" t="s">
        <v>176</v>
      </c>
      <c r="D151"/>
      <c r="E151"/>
      <c r="F151" s="16">
        <v>7.79</v>
      </c>
      <c r="G151" s="16">
        <f>Table2[[#This Row],[Cost  Price]]*1.25</f>
        <v>9.7375000000000007</v>
      </c>
      <c r="H151" s="16">
        <f>Table2[[#This Row],[ORDER QTY]]*Table2[[#This Row],[Sale Price]]</f>
        <v>0</v>
      </c>
    </row>
    <row r="152" spans="1:8">
      <c r="A152" t="s">
        <v>244</v>
      </c>
      <c r="B152" t="s">
        <v>245</v>
      </c>
      <c r="C152" t="s">
        <v>176</v>
      </c>
      <c r="D152"/>
      <c r="E152"/>
      <c r="F152" s="16"/>
      <c r="G152" s="16">
        <f>Table2[[#This Row],[Cost  Price]]*1.25</f>
        <v>0</v>
      </c>
      <c r="H152" s="16">
        <f>Table2[[#This Row],[ORDER QTY]]*Table2[[#This Row],[Sale Price]]</f>
        <v>0</v>
      </c>
    </row>
    <row r="153" spans="1:8">
      <c r="A153" t="s">
        <v>246</v>
      </c>
      <c r="B153" t="s">
        <v>247</v>
      </c>
      <c r="C153" t="s">
        <v>176</v>
      </c>
      <c r="D153"/>
      <c r="E153"/>
      <c r="F153" s="16"/>
      <c r="G153" s="16">
        <f>Table2[[#This Row],[Cost  Price]]*1.25</f>
        <v>0</v>
      </c>
      <c r="H153" s="16">
        <f>Table2[[#This Row],[ORDER QTY]]*Table2[[#This Row],[Sale Price]]</f>
        <v>0</v>
      </c>
    </row>
    <row r="154" spans="1:8">
      <c r="A154" t="s">
        <v>248</v>
      </c>
      <c r="B154" t="s">
        <v>249</v>
      </c>
      <c r="C154" t="s">
        <v>176</v>
      </c>
      <c r="D154"/>
      <c r="E154"/>
      <c r="F154" s="16">
        <v>11.29</v>
      </c>
      <c r="G154" s="16">
        <f>Table2[[#This Row],[Cost  Price]]*1.25</f>
        <v>14.112499999999999</v>
      </c>
      <c r="H154" s="16">
        <f>Table2[[#This Row],[ORDER QTY]]*Table2[[#This Row],[Sale Price]]</f>
        <v>0</v>
      </c>
    </row>
    <row r="155" spans="1:8">
      <c r="A155" t="s">
        <v>250</v>
      </c>
      <c r="B155" t="s">
        <v>251</v>
      </c>
      <c r="C155" t="s">
        <v>176</v>
      </c>
      <c r="D155"/>
      <c r="E155"/>
      <c r="F155" s="16">
        <v>8.7899999999999991</v>
      </c>
      <c r="G155" s="16">
        <f>Table2[[#This Row],[Cost  Price]]*1.25</f>
        <v>10.987499999999999</v>
      </c>
      <c r="H155" s="16">
        <f>Table2[[#This Row],[ORDER QTY]]*Table2[[#This Row],[Sale Price]]</f>
        <v>0</v>
      </c>
    </row>
    <row r="156" spans="1:8">
      <c r="A156" t="s">
        <v>252</v>
      </c>
      <c r="B156" t="s">
        <v>253</v>
      </c>
      <c r="C156" t="s">
        <v>77</v>
      </c>
      <c r="D156"/>
      <c r="E156"/>
      <c r="F156" s="16">
        <v>17.489999999999998</v>
      </c>
      <c r="G156" s="16">
        <f>Table2[[#This Row],[Cost  Price]]*1.25</f>
        <v>21.862499999999997</v>
      </c>
      <c r="H156" s="16">
        <f>Table2[[#This Row],[ORDER QTY]]*Table2[[#This Row],[Sale Price]]</f>
        <v>0</v>
      </c>
    </row>
    <row r="157" spans="1:8">
      <c r="A157" t="s">
        <v>254</v>
      </c>
      <c r="B157" t="s">
        <v>255</v>
      </c>
      <c r="C157" t="s">
        <v>256</v>
      </c>
      <c r="D157"/>
      <c r="E157"/>
      <c r="F157" s="16">
        <v>18.489999999999998</v>
      </c>
      <c r="G157" s="16">
        <f>Table2[[#This Row],[Cost  Price]]*1.25</f>
        <v>23.112499999999997</v>
      </c>
      <c r="H157" s="16">
        <f>Table2[[#This Row],[ORDER QTY]]*Table2[[#This Row],[Sale Price]]</f>
        <v>0</v>
      </c>
    </row>
    <row r="158" spans="1:8">
      <c r="A158" t="s">
        <v>257</v>
      </c>
      <c r="B158" t="s">
        <v>258</v>
      </c>
      <c r="C158" t="s">
        <v>176</v>
      </c>
      <c r="D158"/>
      <c r="E158"/>
      <c r="F158" s="16">
        <v>13.99</v>
      </c>
      <c r="G158" s="16">
        <f>Table2[[#This Row],[Cost  Price]]*1.25</f>
        <v>17.487500000000001</v>
      </c>
      <c r="H158" s="16">
        <f>Table2[[#This Row],[ORDER QTY]]*Table2[[#This Row],[Sale Price]]</f>
        <v>0</v>
      </c>
    </row>
    <row r="159" spans="1:8">
      <c r="A159" t="s">
        <v>259</v>
      </c>
      <c r="B159" t="s">
        <v>260</v>
      </c>
      <c r="C159" t="s">
        <v>176</v>
      </c>
      <c r="D159"/>
      <c r="E159"/>
      <c r="F159" s="16"/>
      <c r="G159" s="16">
        <f>Table2[[#This Row],[Cost  Price]]*1.25</f>
        <v>0</v>
      </c>
      <c r="H159" s="16">
        <f>Table2[[#This Row],[ORDER QTY]]*Table2[[#This Row],[Sale Price]]</f>
        <v>0</v>
      </c>
    </row>
    <row r="160" spans="1:8">
      <c r="A160" t="s">
        <v>261</v>
      </c>
      <c r="B160" t="s">
        <v>1125</v>
      </c>
      <c r="C160" t="s">
        <v>99</v>
      </c>
      <c r="D160"/>
      <c r="E160"/>
      <c r="F160" s="16">
        <v>14.99</v>
      </c>
      <c r="G160" s="16">
        <f>Table2[[#This Row],[Cost  Price]]*1.25</f>
        <v>18.737500000000001</v>
      </c>
      <c r="H160" s="16">
        <f>Table2[[#This Row],[ORDER QTY]]*Table2[[#This Row],[Sale Price]]</f>
        <v>0</v>
      </c>
    </row>
    <row r="161" spans="1:8">
      <c r="A161" t="s">
        <v>262</v>
      </c>
      <c r="B161" t="s">
        <v>263</v>
      </c>
      <c r="C161" t="s">
        <v>111</v>
      </c>
      <c r="D161"/>
      <c r="E161"/>
      <c r="F161" s="16"/>
      <c r="G161" s="16">
        <f>Table2[[#This Row],[Cost  Price]]*1.25</f>
        <v>0</v>
      </c>
      <c r="H161" s="16">
        <f>Table2[[#This Row],[ORDER QTY]]*Table2[[#This Row],[Sale Price]]</f>
        <v>0</v>
      </c>
    </row>
    <row r="162" spans="1:8">
      <c r="A162" t="s">
        <v>264</v>
      </c>
      <c r="B162" t="s">
        <v>1027</v>
      </c>
      <c r="C162" t="s">
        <v>176</v>
      </c>
      <c r="D162"/>
      <c r="E162"/>
      <c r="F162" s="16">
        <v>12.99</v>
      </c>
      <c r="G162" s="16">
        <f>Table2[[#This Row],[Cost  Price]]*1.25</f>
        <v>16.237500000000001</v>
      </c>
      <c r="H162" s="16">
        <f>Table2[[#This Row],[ORDER QTY]]*Table2[[#This Row],[Sale Price]]</f>
        <v>0</v>
      </c>
    </row>
    <row r="163" spans="1:8">
      <c r="A163" t="s">
        <v>265</v>
      </c>
      <c r="B163" t="s">
        <v>266</v>
      </c>
      <c r="C163" t="s">
        <v>176</v>
      </c>
      <c r="D163"/>
      <c r="E163"/>
      <c r="F163" s="16">
        <v>17.989999999999998</v>
      </c>
      <c r="G163" s="16">
        <f>Table2[[#This Row],[Cost  Price]]*1.25</f>
        <v>22.487499999999997</v>
      </c>
      <c r="H163" s="16">
        <f>Table2[[#This Row],[ORDER QTY]]*Table2[[#This Row],[Sale Price]]</f>
        <v>0</v>
      </c>
    </row>
    <row r="164" spans="1:8">
      <c r="A164" t="s">
        <v>267</v>
      </c>
      <c r="B164" t="s">
        <v>268</v>
      </c>
      <c r="C164" t="s">
        <v>234</v>
      </c>
      <c r="D164"/>
      <c r="E164"/>
      <c r="F164" s="16">
        <v>8.99</v>
      </c>
      <c r="G164" s="16">
        <f>Table2[[#This Row],[Cost  Price]]*1.25</f>
        <v>11.237500000000001</v>
      </c>
      <c r="H164" s="16">
        <f>Table2[[#This Row],[ORDER QTY]]*Table2[[#This Row],[Sale Price]]</f>
        <v>0</v>
      </c>
    </row>
    <row r="165" spans="1:8">
      <c r="A165" t="s">
        <v>269</v>
      </c>
      <c r="B165" t="s">
        <v>270</v>
      </c>
      <c r="C165" t="s">
        <v>271</v>
      </c>
      <c r="D165"/>
      <c r="E165"/>
      <c r="F165" s="16">
        <v>10.29</v>
      </c>
      <c r="G165" s="16">
        <f>Table2[[#This Row],[Cost  Price]]*1.25</f>
        <v>12.862499999999999</v>
      </c>
      <c r="H165" s="16">
        <f>Table2[[#This Row],[ORDER QTY]]*Table2[[#This Row],[Sale Price]]</f>
        <v>0</v>
      </c>
    </row>
    <row r="166" spans="1:8">
      <c r="A166" t="s">
        <v>272</v>
      </c>
      <c r="B166" t="s">
        <v>1024</v>
      </c>
      <c r="C166" t="s">
        <v>273</v>
      </c>
      <c r="D166"/>
      <c r="E166"/>
      <c r="F166" s="16">
        <v>11.59</v>
      </c>
      <c r="G166" s="16">
        <f>Table2[[#This Row],[Cost  Price]]*1.25</f>
        <v>14.487500000000001</v>
      </c>
      <c r="H166" s="16">
        <f>Table2[[#This Row],[ORDER QTY]]*Table2[[#This Row],[Sale Price]]</f>
        <v>0</v>
      </c>
    </row>
    <row r="167" spans="1:8">
      <c r="A167" t="s">
        <v>274</v>
      </c>
      <c r="B167" t="s">
        <v>275</v>
      </c>
      <c r="C167" t="s">
        <v>276</v>
      </c>
      <c r="D167"/>
      <c r="E167"/>
      <c r="F167" s="16">
        <v>5.39</v>
      </c>
      <c r="G167" s="16">
        <f>Table2[[#This Row],[Cost  Price]]*1.25</f>
        <v>6.7374999999999998</v>
      </c>
      <c r="H167" s="16">
        <f>Table2[[#This Row],[ORDER QTY]]*Table2[[#This Row],[Sale Price]]</f>
        <v>0</v>
      </c>
    </row>
    <row r="168" spans="1:8">
      <c r="A168" t="s">
        <v>277</v>
      </c>
      <c r="B168" t="s">
        <v>278</v>
      </c>
      <c r="C168" t="s">
        <v>279</v>
      </c>
      <c r="D168"/>
      <c r="E168"/>
      <c r="F168" s="16">
        <v>4.8899999999999997</v>
      </c>
      <c r="G168" s="16">
        <f>Table2[[#This Row],[Cost  Price]]*1.25</f>
        <v>6.1124999999999998</v>
      </c>
      <c r="H168" s="16">
        <f>Table2[[#This Row],[ORDER QTY]]*Table2[[#This Row],[Sale Price]]</f>
        <v>0</v>
      </c>
    </row>
    <row r="169" spans="1:8">
      <c r="A169" t="s">
        <v>283</v>
      </c>
      <c r="B169" t="s">
        <v>281</v>
      </c>
      <c r="C169" t="s">
        <v>405</v>
      </c>
      <c r="D169"/>
      <c r="E169"/>
      <c r="F169" s="16">
        <v>11.29</v>
      </c>
      <c r="G169" s="16">
        <v>14.112499999999999</v>
      </c>
      <c r="H169" s="16">
        <f>Table2[[#This Row],[ORDER QTY]]*Table2[[#This Row],[Sale Price]]</f>
        <v>0</v>
      </c>
    </row>
    <row r="170" spans="1:8">
      <c r="A170" t="s">
        <v>283</v>
      </c>
      <c r="B170" t="s">
        <v>281</v>
      </c>
      <c r="C170" t="s">
        <v>282</v>
      </c>
      <c r="D170"/>
      <c r="E170"/>
      <c r="F170" s="16">
        <v>18.989999999999998</v>
      </c>
      <c r="G170" s="16">
        <v>14.112499999999999</v>
      </c>
      <c r="H170" s="16">
        <f>Table2[[#This Row],[ORDER QTY]]*Table2[[#This Row],[Sale Price]]</f>
        <v>0</v>
      </c>
    </row>
    <row r="171" spans="1:8">
      <c r="A171" t="s">
        <v>284</v>
      </c>
      <c r="B171" t="s">
        <v>1126</v>
      </c>
      <c r="C171" t="s">
        <v>285</v>
      </c>
      <c r="D171"/>
      <c r="E171"/>
      <c r="F171" s="16">
        <v>11.49</v>
      </c>
      <c r="G171" s="16">
        <f>Table2[[#This Row],[Cost  Price]]*1.25</f>
        <v>14.362500000000001</v>
      </c>
      <c r="H171" s="16">
        <f>Table2[[#This Row],[ORDER QTY]]*Table2[[#This Row],[Sale Price]]</f>
        <v>0</v>
      </c>
    </row>
    <row r="172" spans="1:8">
      <c r="A172" t="s">
        <v>286</v>
      </c>
      <c r="B172" t="s">
        <v>287</v>
      </c>
      <c r="C172" t="s">
        <v>299</v>
      </c>
      <c r="D172"/>
      <c r="E172"/>
      <c r="F172" s="16">
        <v>10.79</v>
      </c>
      <c r="G172" s="16">
        <f>Table2[[#This Row],[Cost  Price]]*1.25</f>
        <v>13.487499999999999</v>
      </c>
      <c r="H172" s="16">
        <f>Table2[[#This Row],[ORDER QTY]]*Table2[[#This Row],[Sale Price]]</f>
        <v>0</v>
      </c>
    </row>
    <row r="173" spans="1:8">
      <c r="A173" t="s">
        <v>288</v>
      </c>
      <c r="B173" t="s">
        <v>289</v>
      </c>
      <c r="C173" t="s">
        <v>299</v>
      </c>
      <c r="D173"/>
      <c r="E173"/>
      <c r="F173" s="16">
        <v>19.989999999999998</v>
      </c>
      <c r="G173" s="16">
        <f>Table2[[#This Row],[Cost  Price]]*1.25</f>
        <v>24.987499999999997</v>
      </c>
      <c r="H173" s="16">
        <f>Table2[[#This Row],[ORDER QTY]]*Table2[[#This Row],[Sale Price]]</f>
        <v>0</v>
      </c>
    </row>
    <row r="174" spans="1:8">
      <c r="A174" t="s">
        <v>290</v>
      </c>
      <c r="B174" t="s">
        <v>291</v>
      </c>
      <c r="C174" t="s">
        <v>292</v>
      </c>
      <c r="D174"/>
      <c r="E174"/>
      <c r="F174" s="16">
        <v>20.49</v>
      </c>
      <c r="G174" s="16">
        <f>Table2[[#This Row],[Cost  Price]]*1.25</f>
        <v>25.612499999999997</v>
      </c>
      <c r="H174" s="16">
        <f>Table2[[#This Row],[ORDER QTY]]*Table2[[#This Row],[Sale Price]]</f>
        <v>0</v>
      </c>
    </row>
    <row r="175" spans="1:8">
      <c r="A175" t="s">
        <v>293</v>
      </c>
      <c r="B175" t="s">
        <v>291</v>
      </c>
      <c r="C175" t="s">
        <v>294</v>
      </c>
      <c r="D175"/>
      <c r="E175"/>
      <c r="F175" s="16">
        <v>10.79</v>
      </c>
      <c r="G175" s="16">
        <f>Table2[[#This Row],[Cost  Price]]*1.25</f>
        <v>13.487499999999999</v>
      </c>
      <c r="H175" s="16">
        <f>Table2[[#This Row],[ORDER QTY]]*Table2[[#This Row],[Sale Price]]</f>
        <v>0</v>
      </c>
    </row>
    <row r="176" spans="1:8">
      <c r="A176" t="s">
        <v>295</v>
      </c>
      <c r="B176" t="s">
        <v>291</v>
      </c>
      <c r="C176" t="s">
        <v>78</v>
      </c>
      <c r="D176"/>
      <c r="E176"/>
      <c r="F176" s="16">
        <v>17.989999999999998</v>
      </c>
      <c r="G176" s="16">
        <f>Table2[[#This Row],[Cost  Price]]*1.25</f>
        <v>22.487499999999997</v>
      </c>
      <c r="H176" s="16">
        <f>Table2[[#This Row],[ORDER QTY]]*Table2[[#This Row],[Sale Price]]</f>
        <v>0</v>
      </c>
    </row>
    <row r="177" spans="1:8">
      <c r="A177" t="s">
        <v>296</v>
      </c>
      <c r="B177" t="s">
        <v>291</v>
      </c>
      <c r="C177" t="s">
        <v>297</v>
      </c>
      <c r="D177"/>
      <c r="E177"/>
      <c r="F177" s="16">
        <v>24.99</v>
      </c>
      <c r="G177" s="16">
        <f>Table2[[#This Row],[Cost  Price]]*1.25</f>
        <v>31.237499999999997</v>
      </c>
      <c r="H177" s="16">
        <f>Table2[[#This Row],[ORDER QTY]]*Table2[[#This Row],[Sale Price]]</f>
        <v>0</v>
      </c>
    </row>
    <row r="178" spans="1:8">
      <c r="A178" t="s">
        <v>298</v>
      </c>
      <c r="B178" t="s">
        <v>303</v>
      </c>
      <c r="C178" t="s">
        <v>300</v>
      </c>
      <c r="D178"/>
      <c r="E178"/>
      <c r="F178" s="16">
        <v>9.49</v>
      </c>
      <c r="G178" s="16">
        <f>Table2[[#This Row],[Cost  Price]]*1.25</f>
        <v>11.862500000000001</v>
      </c>
      <c r="H178" s="16">
        <f>Table2[[#This Row],[ORDER QTY]]*Table2[[#This Row],[Sale Price]]</f>
        <v>0</v>
      </c>
    </row>
    <row r="179" spans="1:8">
      <c r="A179" t="s">
        <v>301</v>
      </c>
      <c r="B179" t="s">
        <v>302</v>
      </c>
      <c r="C179" t="s">
        <v>300</v>
      </c>
      <c r="D179"/>
      <c r="E179"/>
      <c r="F179" s="16">
        <v>9.99</v>
      </c>
      <c r="G179" s="16">
        <f>Table2[[#This Row],[Cost  Price]]*1.25</f>
        <v>12.487500000000001</v>
      </c>
      <c r="H179" s="16">
        <f>Table2[[#This Row],[ORDER QTY]]*Table2[[#This Row],[Sale Price]]</f>
        <v>0</v>
      </c>
    </row>
    <row r="180" spans="1:8">
      <c r="A180" t="s">
        <v>304</v>
      </c>
      <c r="B180" t="s">
        <v>1127</v>
      </c>
      <c r="C180" t="s">
        <v>300</v>
      </c>
      <c r="D180"/>
      <c r="E180"/>
      <c r="F180" s="16">
        <v>7.99</v>
      </c>
      <c r="G180" s="16">
        <f>Table2[[#This Row],[Cost  Price]]*1.25</f>
        <v>9.9875000000000007</v>
      </c>
      <c r="H180" s="16">
        <f>Table2[[#This Row],[ORDER QTY]]*Table2[[#This Row],[Sale Price]]</f>
        <v>0</v>
      </c>
    </row>
    <row r="181" spans="1:8">
      <c r="A181" s="29"/>
      <c r="B181" s="29" t="s">
        <v>305</v>
      </c>
      <c r="C181" s="29"/>
      <c r="D181" s="29"/>
      <c r="E181" s="29"/>
      <c r="F181" s="30"/>
      <c r="G181" s="30"/>
      <c r="H181" s="30"/>
    </row>
    <row r="182" spans="1:8">
      <c r="A182" t="s">
        <v>306</v>
      </c>
      <c r="B182" t="s">
        <v>1128</v>
      </c>
      <c r="C182" t="s">
        <v>294</v>
      </c>
      <c r="D182"/>
      <c r="E182"/>
      <c r="F182" s="16">
        <v>10.49</v>
      </c>
      <c r="G182" s="16">
        <f>Table2[[#This Row],[Cost  Price]]*1.25</f>
        <v>13.112500000000001</v>
      </c>
      <c r="H182" s="16">
        <f>Table2[[#This Row],[ORDER QTY]]*Table2[[#This Row],[Sale Price]]</f>
        <v>0</v>
      </c>
    </row>
    <row r="183" spans="1:8">
      <c r="A183" t="s">
        <v>314</v>
      </c>
      <c r="B183" t="s">
        <v>307</v>
      </c>
      <c r="C183" t="s">
        <v>312</v>
      </c>
      <c r="D183"/>
      <c r="E183"/>
      <c r="F183" s="16"/>
      <c r="G183" s="16">
        <f>Table2[[#This Row],[Cost  Price]]*1.25</f>
        <v>0</v>
      </c>
      <c r="H183" s="16">
        <f>Table2[[#This Row],[ORDER QTY]]*Table2[[#This Row],[Sale Price]]</f>
        <v>0</v>
      </c>
    </row>
    <row r="184" spans="1:8">
      <c r="A184" t="s">
        <v>308</v>
      </c>
      <c r="B184" t="s">
        <v>309</v>
      </c>
      <c r="C184" t="s">
        <v>294</v>
      </c>
      <c r="D184"/>
      <c r="E184"/>
      <c r="F184" s="16">
        <v>9.99</v>
      </c>
      <c r="G184" s="16">
        <f>Table2[[#This Row],[Cost  Price]]*1.25</f>
        <v>12.487500000000001</v>
      </c>
      <c r="H184" s="16">
        <f>Table2[[#This Row],[ORDER QTY]]*Table2[[#This Row],[Sale Price]]</f>
        <v>0</v>
      </c>
    </row>
    <row r="185" spans="1:8">
      <c r="A185" t="s">
        <v>313</v>
      </c>
      <c r="B185" t="s">
        <v>309</v>
      </c>
      <c r="C185" t="s">
        <v>312</v>
      </c>
      <c r="D185"/>
      <c r="E185"/>
      <c r="F185" s="16">
        <v>21.99</v>
      </c>
      <c r="G185" s="16">
        <f>Table2[[#This Row],[Cost  Price]]*1.25</f>
        <v>27.487499999999997</v>
      </c>
      <c r="H185" s="16">
        <f>Table2[[#This Row],[ORDER QTY]]*Table2[[#This Row],[Sale Price]]</f>
        <v>0</v>
      </c>
    </row>
    <row r="186" spans="1:8">
      <c r="A186" t="s">
        <v>310</v>
      </c>
      <c r="B186" t="s">
        <v>1028</v>
      </c>
      <c r="C186" t="s">
        <v>294</v>
      </c>
      <c r="D186"/>
      <c r="E186"/>
      <c r="F186" s="16">
        <v>10.99</v>
      </c>
      <c r="G186" s="16">
        <f>Table2[[#This Row],[Cost  Price]]*1.25</f>
        <v>13.737500000000001</v>
      </c>
      <c r="H186" s="16">
        <f>Table2[[#This Row],[ORDER QTY]]*Table2[[#This Row],[Sale Price]]</f>
        <v>0</v>
      </c>
    </row>
    <row r="187" spans="1:8">
      <c r="A187" t="s">
        <v>311</v>
      </c>
      <c r="B187" t="s">
        <v>1028</v>
      </c>
      <c r="C187" t="s">
        <v>312</v>
      </c>
      <c r="D187"/>
      <c r="E187"/>
      <c r="F187" s="16">
        <v>22.49</v>
      </c>
      <c r="G187" s="16">
        <f>Table2[[#This Row],[Cost  Price]]*1.25</f>
        <v>28.112499999999997</v>
      </c>
      <c r="H187" s="16">
        <f>Table2[[#This Row],[ORDER QTY]]*Table2[[#This Row],[Sale Price]]</f>
        <v>0</v>
      </c>
    </row>
    <row r="188" spans="1:8">
      <c r="A188" t="s">
        <v>315</v>
      </c>
      <c r="B188" t="s">
        <v>316</v>
      </c>
      <c r="C188" t="s">
        <v>317</v>
      </c>
      <c r="D188"/>
      <c r="E188"/>
      <c r="F188" s="16">
        <v>24.49</v>
      </c>
      <c r="G188" s="16">
        <f>Table2[[#This Row],[Cost  Price]]*1.25</f>
        <v>30.612499999999997</v>
      </c>
      <c r="H188" s="16">
        <f>Table2[[#This Row],[ORDER QTY]]*Table2[[#This Row],[Sale Price]]</f>
        <v>0</v>
      </c>
    </row>
    <row r="189" spans="1:8">
      <c r="A189" t="s">
        <v>318</v>
      </c>
      <c r="B189" t="s">
        <v>1129</v>
      </c>
      <c r="C189" t="s">
        <v>1130</v>
      </c>
      <c r="D189"/>
      <c r="E189"/>
      <c r="F189" s="16">
        <v>16.39</v>
      </c>
      <c r="G189" s="16">
        <f>Table2[[#This Row],[Cost  Price]]*1.25</f>
        <v>20.487500000000001</v>
      </c>
      <c r="H189" s="16">
        <f>Table2[[#This Row],[ORDER QTY]]*Table2[[#This Row],[Sale Price]]</f>
        <v>0</v>
      </c>
    </row>
    <row r="190" spans="1:8">
      <c r="A190" t="s">
        <v>319</v>
      </c>
      <c r="B190" t="s">
        <v>1129</v>
      </c>
      <c r="C190" t="s">
        <v>1131</v>
      </c>
      <c r="D190"/>
      <c r="E190"/>
      <c r="F190" s="16">
        <v>15.29</v>
      </c>
      <c r="G190" s="16">
        <f>Table2[[#This Row],[Cost  Price]]*1.25</f>
        <v>19.112499999999997</v>
      </c>
      <c r="H190" s="16">
        <f>Table2[[#This Row],[ORDER QTY]]*Table2[[#This Row],[Sale Price]]</f>
        <v>0</v>
      </c>
    </row>
    <row r="191" spans="1:8">
      <c r="A191" s="29"/>
      <c r="B191" s="29" t="s">
        <v>320</v>
      </c>
      <c r="C191" s="29"/>
      <c r="D191" s="29"/>
      <c r="E191" s="29"/>
      <c r="F191" s="30"/>
      <c r="G191" s="30"/>
      <c r="H191" s="30"/>
    </row>
    <row r="192" spans="1:8">
      <c r="A192" t="s">
        <v>321</v>
      </c>
      <c r="B192" t="s">
        <v>322</v>
      </c>
      <c r="C192" t="s">
        <v>294</v>
      </c>
      <c r="D192"/>
      <c r="E192"/>
      <c r="F192" s="16">
        <v>8.99</v>
      </c>
      <c r="G192" s="16">
        <f>Table2[[#This Row],[Cost  Price]]*1.25</f>
        <v>11.237500000000001</v>
      </c>
      <c r="H192" s="16">
        <f>Table2[[#This Row],[ORDER QTY]]*Table2[[#This Row],[Sale Price]]</f>
        <v>0</v>
      </c>
    </row>
    <row r="193" spans="1:8">
      <c r="A193" t="s">
        <v>323</v>
      </c>
      <c r="B193" t="s">
        <v>324</v>
      </c>
      <c r="C193" t="s">
        <v>175</v>
      </c>
      <c r="D193"/>
      <c r="E193"/>
      <c r="F193" s="16">
        <v>31.99</v>
      </c>
      <c r="G193" s="16">
        <f>Table2[[#This Row],[Cost  Price]]*1.25</f>
        <v>39.987499999999997</v>
      </c>
      <c r="H193" s="16">
        <f>Table2[[#This Row],[ORDER QTY]]*Table2[[#This Row],[Sale Price]]</f>
        <v>0</v>
      </c>
    </row>
    <row r="194" spans="1:8">
      <c r="A194" t="s">
        <v>325</v>
      </c>
      <c r="B194" t="s">
        <v>1133</v>
      </c>
      <c r="C194" t="s">
        <v>175</v>
      </c>
      <c r="D194"/>
      <c r="E194"/>
      <c r="F194" s="16">
        <v>37.99</v>
      </c>
      <c r="G194" s="16">
        <f>Table2[[#This Row],[Cost  Price]]*1.25</f>
        <v>47.487500000000004</v>
      </c>
      <c r="H194" s="16">
        <f>Table2[[#This Row],[ORDER QTY]]*Table2[[#This Row],[Sale Price]]</f>
        <v>0</v>
      </c>
    </row>
    <row r="195" spans="1:8">
      <c r="A195" t="s">
        <v>326</v>
      </c>
      <c r="B195" t="s">
        <v>1132</v>
      </c>
      <c r="C195" t="s">
        <v>175</v>
      </c>
      <c r="D195"/>
      <c r="E195"/>
      <c r="F195" s="16">
        <v>28.99</v>
      </c>
      <c r="G195" s="16">
        <f>Table2[[#This Row],[Cost  Price]]*1.25</f>
        <v>36.237499999999997</v>
      </c>
      <c r="H195" s="16">
        <f>Table2[[#This Row],[ORDER QTY]]*Table2[[#This Row],[Sale Price]]</f>
        <v>0</v>
      </c>
    </row>
    <row r="196" spans="1:8">
      <c r="A196" t="s">
        <v>327</v>
      </c>
      <c r="B196" t="s">
        <v>1134</v>
      </c>
      <c r="C196" t="s">
        <v>175</v>
      </c>
      <c r="D196"/>
      <c r="E196"/>
      <c r="F196" s="16">
        <v>32.99</v>
      </c>
      <c r="G196" s="16">
        <f>Table2[[#This Row],[Cost  Price]]*1.25</f>
        <v>41.237500000000004</v>
      </c>
      <c r="H196" s="16">
        <f>Table2[[#This Row],[ORDER QTY]]*Table2[[#This Row],[Sale Price]]</f>
        <v>0</v>
      </c>
    </row>
    <row r="197" spans="1:8">
      <c r="A197" t="s">
        <v>328</v>
      </c>
      <c r="B197" t="s">
        <v>329</v>
      </c>
      <c r="C197" t="s">
        <v>78</v>
      </c>
      <c r="D197"/>
      <c r="E197"/>
      <c r="F197" s="16">
        <v>23.49</v>
      </c>
      <c r="G197" s="16">
        <f>Table2[[#This Row],[Cost  Price]]*1.25</f>
        <v>29.362499999999997</v>
      </c>
      <c r="H197" s="16">
        <f>Table2[[#This Row],[ORDER QTY]]*Table2[[#This Row],[Sale Price]]</f>
        <v>0</v>
      </c>
    </row>
    <row r="198" spans="1:8">
      <c r="A198" t="s">
        <v>330</v>
      </c>
      <c r="B198" t="s">
        <v>1135</v>
      </c>
      <c r="C198" t="s">
        <v>175</v>
      </c>
      <c r="D198"/>
      <c r="E198"/>
      <c r="F198" s="16">
        <v>25.99</v>
      </c>
      <c r="G198" s="16">
        <v>0</v>
      </c>
      <c r="H198" s="16">
        <f>Table2[[#This Row],[ORDER QTY]]*Table2[[#This Row],[Sale Price]]</f>
        <v>0</v>
      </c>
    </row>
    <row r="199" spans="1:8">
      <c r="A199" t="s">
        <v>331</v>
      </c>
      <c r="B199" t="s">
        <v>333</v>
      </c>
      <c r="C199" t="s">
        <v>175</v>
      </c>
      <c r="D199"/>
      <c r="E199"/>
      <c r="F199" s="16">
        <v>29.49</v>
      </c>
      <c r="G199" s="16">
        <v>0</v>
      </c>
      <c r="H199" s="16">
        <f>Table2[[#This Row],[ORDER QTY]]*Table2[[#This Row],[Sale Price]]</f>
        <v>0</v>
      </c>
    </row>
    <row r="200" spans="1:8">
      <c r="A200" t="s">
        <v>332</v>
      </c>
      <c r="B200" t="s">
        <v>334</v>
      </c>
      <c r="C200" t="s">
        <v>294</v>
      </c>
      <c r="D200"/>
      <c r="E200"/>
      <c r="F200" s="16">
        <v>10.99</v>
      </c>
      <c r="G200" s="16">
        <v>0</v>
      </c>
      <c r="H200" s="16">
        <f>Table2[[#This Row],[ORDER QTY]]*Table2[[#This Row],[Sale Price]]</f>
        <v>0</v>
      </c>
    </row>
    <row r="201" spans="1:8">
      <c r="A201" t="s">
        <v>335</v>
      </c>
      <c r="B201" t="s">
        <v>336</v>
      </c>
      <c r="C201" t="s">
        <v>78</v>
      </c>
      <c r="D201"/>
      <c r="E201"/>
      <c r="F201" s="16">
        <v>13.99</v>
      </c>
      <c r="G201" s="16">
        <f>Table2[[#This Row],[Cost  Price]]*1.25</f>
        <v>17.487500000000001</v>
      </c>
      <c r="H201" s="16">
        <f>Table2[[#This Row],[ORDER QTY]]*Table2[[#This Row],[Sale Price]]</f>
        <v>0</v>
      </c>
    </row>
    <row r="202" spans="1:8">
      <c r="A202" t="s">
        <v>337</v>
      </c>
      <c r="B202" t="s">
        <v>338</v>
      </c>
      <c r="C202" t="s">
        <v>78</v>
      </c>
      <c r="D202"/>
      <c r="E202"/>
      <c r="F202" s="16">
        <v>19.489999999999998</v>
      </c>
      <c r="G202" s="16">
        <f>Table2[[#This Row],[Cost  Price]]*1.25</f>
        <v>24.362499999999997</v>
      </c>
      <c r="H202" s="16">
        <f>Table2[[#This Row],[ORDER QTY]]*Table2[[#This Row],[Sale Price]]</f>
        <v>0</v>
      </c>
    </row>
    <row r="203" spans="1:8">
      <c r="A203" t="s">
        <v>339</v>
      </c>
      <c r="B203" t="s">
        <v>1136</v>
      </c>
      <c r="C203" t="s">
        <v>340</v>
      </c>
      <c r="D203"/>
      <c r="E203"/>
      <c r="F203" s="16">
        <v>48.99</v>
      </c>
      <c r="G203" s="16">
        <f>Table2[[#This Row],[Cost  Price]]*1.25</f>
        <v>61.237500000000004</v>
      </c>
      <c r="H203" s="16">
        <f>Table2[[#This Row],[ORDER QTY]]*Table2[[#This Row],[Sale Price]]</f>
        <v>0</v>
      </c>
    </row>
    <row r="204" spans="1:8">
      <c r="A204" t="s">
        <v>341</v>
      </c>
      <c r="B204" t="s">
        <v>342</v>
      </c>
      <c r="C204" t="s">
        <v>209</v>
      </c>
      <c r="D204"/>
      <c r="E204"/>
      <c r="F204" s="16">
        <v>4.79</v>
      </c>
      <c r="G204" s="16">
        <f>Table2[[#This Row],[Cost  Price]]*1.25</f>
        <v>5.9874999999999998</v>
      </c>
      <c r="H204" s="16">
        <f>Table2[[#This Row],[ORDER QTY]]*Table2[[#This Row],[Sale Price]]</f>
        <v>0</v>
      </c>
    </row>
    <row r="205" spans="1:8">
      <c r="A205" t="s">
        <v>341</v>
      </c>
      <c r="B205" t="s">
        <v>342</v>
      </c>
      <c r="C205" t="s">
        <v>343</v>
      </c>
      <c r="D205"/>
      <c r="E205"/>
      <c r="F205" s="16">
        <v>23.99</v>
      </c>
      <c r="G205" s="16">
        <f>Table2[[#This Row],[Cost  Price]]*1.25</f>
        <v>29.987499999999997</v>
      </c>
      <c r="H205" s="16">
        <f>Table2[[#This Row],[ORDER QTY]]*Table2[[#This Row],[Sale Price]]</f>
        <v>0</v>
      </c>
    </row>
    <row r="206" spans="1:8">
      <c r="A206" s="29"/>
      <c r="B206" s="29" t="s">
        <v>347</v>
      </c>
      <c r="C206" s="29"/>
      <c r="D206" s="29"/>
      <c r="E206" s="29"/>
      <c r="F206" s="30"/>
      <c r="G206" s="30"/>
      <c r="H206" s="30"/>
    </row>
    <row r="207" spans="1:8">
      <c r="A207" t="s">
        <v>344</v>
      </c>
      <c r="B207" t="s">
        <v>345</v>
      </c>
      <c r="C207" t="s">
        <v>346</v>
      </c>
      <c r="D207"/>
      <c r="E207"/>
      <c r="F207" s="16">
        <v>14.29</v>
      </c>
      <c r="G207" s="16">
        <f>Table2[[#This Row],[Cost  Price]]*1.25</f>
        <v>17.862499999999997</v>
      </c>
      <c r="H207" s="16">
        <f>Table2[[#This Row],[ORDER QTY]]*Table2[[#This Row],[Sale Price]]</f>
        <v>0</v>
      </c>
    </row>
    <row r="208" spans="1:8">
      <c r="A208" t="s">
        <v>348</v>
      </c>
      <c r="B208" t="s">
        <v>349</v>
      </c>
      <c r="C208" t="s">
        <v>346</v>
      </c>
      <c r="D208"/>
      <c r="E208"/>
      <c r="F208" s="16">
        <v>13.99</v>
      </c>
      <c r="G208" s="16">
        <f>Table2[[#This Row],[Cost  Price]]*1.25</f>
        <v>17.487500000000001</v>
      </c>
      <c r="H208" s="16">
        <f>Table2[[#This Row],[ORDER QTY]]*Table2[[#This Row],[Sale Price]]</f>
        <v>0</v>
      </c>
    </row>
    <row r="209" spans="1:8">
      <c r="A209" t="s">
        <v>350</v>
      </c>
      <c r="B209" t="s">
        <v>349</v>
      </c>
      <c r="C209" t="s">
        <v>351</v>
      </c>
      <c r="D209"/>
      <c r="E209"/>
      <c r="F209" s="16">
        <v>10.29</v>
      </c>
      <c r="G209" s="16">
        <f>Table2[[#This Row],[Cost  Price]]*1.25</f>
        <v>12.862499999999999</v>
      </c>
      <c r="H209" s="16">
        <f>Table2[[#This Row],[ORDER QTY]]*Table2[[#This Row],[Sale Price]]</f>
        <v>0</v>
      </c>
    </row>
    <row r="210" spans="1:8">
      <c r="A210" t="s">
        <v>352</v>
      </c>
      <c r="B210" t="s">
        <v>354</v>
      </c>
      <c r="C210" t="s">
        <v>297</v>
      </c>
      <c r="D210"/>
      <c r="E210"/>
      <c r="F210" s="16">
        <v>23.99</v>
      </c>
      <c r="G210" s="16">
        <f>Table2[[#This Row],[Cost  Price]]*1.25</f>
        <v>29.987499999999997</v>
      </c>
      <c r="H210" s="16">
        <f>Table2[[#This Row],[ORDER QTY]]*Table2[[#This Row],[Sale Price]]</f>
        <v>0</v>
      </c>
    </row>
    <row r="211" spans="1:8">
      <c r="A211" t="s">
        <v>353</v>
      </c>
      <c r="B211" t="s">
        <v>355</v>
      </c>
      <c r="C211" t="s">
        <v>351</v>
      </c>
      <c r="D211"/>
      <c r="E211"/>
      <c r="F211" s="16">
        <v>10.29</v>
      </c>
      <c r="G211" s="16">
        <f>Table2[[#This Row],[Cost  Price]]*1.25</f>
        <v>12.862499999999999</v>
      </c>
      <c r="H211" s="16">
        <f>Table2[[#This Row],[ORDER QTY]]*Table2[[#This Row],[Sale Price]]</f>
        <v>0</v>
      </c>
    </row>
    <row r="212" spans="1:8">
      <c r="A212" t="s">
        <v>356</v>
      </c>
      <c r="B212" t="s">
        <v>357</v>
      </c>
      <c r="C212" t="s">
        <v>99</v>
      </c>
      <c r="D212"/>
      <c r="E212"/>
      <c r="F212" s="16">
        <v>8.7899999999999991</v>
      </c>
      <c r="G212" s="16">
        <f>Table2[[#This Row],[Cost  Price]]*1.25</f>
        <v>10.987499999999999</v>
      </c>
      <c r="H212" s="16">
        <f>Table2[[#This Row],[ORDER QTY]]*Table2[[#This Row],[Sale Price]]</f>
        <v>0</v>
      </c>
    </row>
    <row r="213" spans="1:8">
      <c r="A213" t="s">
        <v>358</v>
      </c>
      <c r="B213" t="s">
        <v>359</v>
      </c>
      <c r="C213" t="s">
        <v>78</v>
      </c>
      <c r="D213"/>
      <c r="E213"/>
      <c r="F213" s="16">
        <v>12.29</v>
      </c>
      <c r="G213" s="16">
        <f>Table2[[#This Row],[Cost  Price]]*1.25</f>
        <v>15.362499999999999</v>
      </c>
      <c r="H213" s="16">
        <f>Table2[[#This Row],[ORDER QTY]]*Table2[[#This Row],[Sale Price]]</f>
        <v>0</v>
      </c>
    </row>
    <row r="214" spans="1:8">
      <c r="A214" t="s">
        <v>360</v>
      </c>
      <c r="B214" t="s">
        <v>361</v>
      </c>
      <c r="C214" t="s">
        <v>64</v>
      </c>
      <c r="D214"/>
      <c r="E214"/>
      <c r="F214" s="16">
        <v>7.29</v>
      </c>
      <c r="G214" s="16">
        <f>Table2[[#This Row],[Cost  Price]]*1.25</f>
        <v>9.1125000000000007</v>
      </c>
      <c r="H214" s="16">
        <f>Table2[[#This Row],[ORDER QTY]]*Table2[[#This Row],[Sale Price]]</f>
        <v>0</v>
      </c>
    </row>
    <row r="215" spans="1:8">
      <c r="A215" t="s">
        <v>362</v>
      </c>
      <c r="B215" t="s">
        <v>363</v>
      </c>
      <c r="C215" t="s">
        <v>294</v>
      </c>
      <c r="D215"/>
      <c r="E215"/>
      <c r="F215" s="16">
        <v>14.49</v>
      </c>
      <c r="G215" s="16">
        <f>Table2[[#This Row],[Cost  Price]]*1.25</f>
        <v>18.112500000000001</v>
      </c>
      <c r="H215" s="16">
        <f>Table2[[#This Row],[ORDER QTY]]*Table2[[#This Row],[Sale Price]]</f>
        <v>0</v>
      </c>
    </row>
    <row r="216" spans="1:8">
      <c r="A216" t="s">
        <v>364</v>
      </c>
      <c r="B216" t="s">
        <v>365</v>
      </c>
      <c r="C216" t="s">
        <v>366</v>
      </c>
      <c r="D216"/>
      <c r="E216"/>
      <c r="F216" s="16">
        <v>32.29</v>
      </c>
      <c r="G216" s="16">
        <f>Table2[[#This Row],[Cost  Price]]*1.25</f>
        <v>40.362499999999997</v>
      </c>
      <c r="H216" s="16">
        <f>Table2[[#This Row],[ORDER QTY]]*Table2[[#This Row],[Sale Price]]</f>
        <v>0</v>
      </c>
    </row>
    <row r="217" spans="1:8">
      <c r="A217" t="s">
        <v>367</v>
      </c>
      <c r="B217" t="s">
        <v>368</v>
      </c>
      <c r="C217" t="s">
        <v>64</v>
      </c>
      <c r="D217"/>
      <c r="E217"/>
      <c r="F217" s="16">
        <v>11.29</v>
      </c>
      <c r="G217" s="16">
        <f>Table2[[#This Row],[Cost  Price]]*1.25</f>
        <v>14.112499999999999</v>
      </c>
      <c r="H217" s="16">
        <f>Table2[[#This Row],[ORDER QTY]]*Table2[[#This Row],[Sale Price]]</f>
        <v>0</v>
      </c>
    </row>
    <row r="218" spans="1:8">
      <c r="A218" s="29"/>
      <c r="B218" s="29" t="s">
        <v>1029</v>
      </c>
      <c r="C218" s="29"/>
      <c r="D218" s="29"/>
      <c r="E218" s="29"/>
      <c r="F218" s="30"/>
      <c r="G218" s="30"/>
      <c r="H218" s="30"/>
    </row>
    <row r="219" spans="1:8">
      <c r="A219" t="s">
        <v>656</v>
      </c>
      <c r="B219" t="s">
        <v>657</v>
      </c>
      <c r="C219" t="s">
        <v>658</v>
      </c>
      <c r="D219"/>
      <c r="E219"/>
      <c r="F219" s="16">
        <v>4.49</v>
      </c>
      <c r="G219" s="16">
        <f>Table2[[#This Row],[Cost  Price]]*1.25</f>
        <v>5.6125000000000007</v>
      </c>
      <c r="H219" s="16">
        <f>Table2[[#This Row],[ORDER QTY]]*Table2[[#This Row],[Sale Price]]</f>
        <v>0</v>
      </c>
    </row>
    <row r="220" spans="1:8">
      <c r="A220" t="s">
        <v>659</v>
      </c>
      <c r="B220" t="s">
        <v>1137</v>
      </c>
      <c r="C220" t="s">
        <v>99</v>
      </c>
      <c r="D220"/>
      <c r="E220"/>
      <c r="F220" s="16">
        <v>11.99</v>
      </c>
      <c r="G220" s="16">
        <f>Table2[[#This Row],[Cost  Price]]*1.25</f>
        <v>14.987500000000001</v>
      </c>
      <c r="H220" s="16">
        <f>Table2[[#This Row],[ORDER QTY]]*Table2[[#This Row],[Sale Price]]</f>
        <v>0</v>
      </c>
    </row>
    <row r="221" spans="1:8">
      <c r="A221" t="s">
        <v>660</v>
      </c>
      <c r="B221" t="s">
        <v>664</v>
      </c>
      <c r="C221" t="s">
        <v>661</v>
      </c>
      <c r="D221"/>
      <c r="E221"/>
      <c r="F221" s="16">
        <v>23.49</v>
      </c>
      <c r="G221" s="16">
        <f>Table2[[#This Row],[Cost  Price]]*1.25</f>
        <v>29.362499999999997</v>
      </c>
      <c r="H221" s="16">
        <f>Table2[[#This Row],[ORDER QTY]]*Table2[[#This Row],[Sale Price]]</f>
        <v>0</v>
      </c>
    </row>
    <row r="222" spans="1:8">
      <c r="A222" t="s">
        <v>662</v>
      </c>
      <c r="B222" t="s">
        <v>663</v>
      </c>
      <c r="C222" t="s">
        <v>661</v>
      </c>
      <c r="D222"/>
      <c r="E222"/>
      <c r="F222" s="16">
        <v>20.99</v>
      </c>
      <c r="G222" s="16">
        <f>Table2[[#This Row],[Cost  Price]]*1.25</f>
        <v>26.237499999999997</v>
      </c>
      <c r="H222" s="16">
        <f>Table2[[#This Row],[ORDER QTY]]*Table2[[#This Row],[Sale Price]]</f>
        <v>0</v>
      </c>
    </row>
    <row r="223" spans="1:8">
      <c r="A223" t="s">
        <v>665</v>
      </c>
      <c r="B223" t="s">
        <v>666</v>
      </c>
      <c r="C223" t="s">
        <v>661</v>
      </c>
      <c r="D223"/>
      <c r="E223"/>
      <c r="F223" s="16">
        <v>22.99</v>
      </c>
      <c r="G223" s="16">
        <f>Table2[[#This Row],[Cost  Price]]*1.25</f>
        <v>28.737499999999997</v>
      </c>
      <c r="H223" s="16">
        <f>Table2[[#This Row],[ORDER QTY]]*Table2[[#This Row],[Sale Price]]</f>
        <v>0</v>
      </c>
    </row>
    <row r="224" spans="1:8">
      <c r="A224" t="s">
        <v>667</v>
      </c>
      <c r="B224" t="s">
        <v>668</v>
      </c>
      <c r="C224" t="s">
        <v>661</v>
      </c>
      <c r="D224"/>
      <c r="E224"/>
      <c r="F224" s="16">
        <v>21.99</v>
      </c>
      <c r="G224" s="16">
        <f>Table2[[#This Row],[Cost  Price]]*1.25</f>
        <v>27.487499999999997</v>
      </c>
      <c r="H224" s="16">
        <f>Table2[[#This Row],[ORDER QTY]]*Table2[[#This Row],[Sale Price]]</f>
        <v>0</v>
      </c>
    </row>
    <row r="225" spans="1:8">
      <c r="A225" t="s">
        <v>669</v>
      </c>
      <c r="B225" t="s">
        <v>1030</v>
      </c>
      <c r="C225" t="s">
        <v>661</v>
      </c>
      <c r="D225"/>
      <c r="E225"/>
      <c r="F225" s="16">
        <v>25.49</v>
      </c>
      <c r="G225" s="16">
        <f>Table2[[#This Row],[Cost  Price]]*1.25</f>
        <v>31.862499999999997</v>
      </c>
      <c r="H225" s="16">
        <f>Table2[[#This Row],[ORDER QTY]]*Table2[[#This Row],[Sale Price]]</f>
        <v>0</v>
      </c>
    </row>
    <row r="226" spans="1:8">
      <c r="A226" t="s">
        <v>670</v>
      </c>
      <c r="B226" t="s">
        <v>671</v>
      </c>
      <c r="C226" t="s">
        <v>672</v>
      </c>
      <c r="D226"/>
      <c r="E226"/>
      <c r="F226" s="16">
        <v>5.99</v>
      </c>
      <c r="G226" s="16">
        <f>Table2[[#This Row],[Cost  Price]]*1.25</f>
        <v>7.4875000000000007</v>
      </c>
      <c r="H226" s="16">
        <f>Table2[[#This Row],[ORDER QTY]]*Table2[[#This Row],[Sale Price]]</f>
        <v>0</v>
      </c>
    </row>
    <row r="227" spans="1:8">
      <c r="A227" t="s">
        <v>673</v>
      </c>
      <c r="B227" t="s">
        <v>674</v>
      </c>
      <c r="C227" t="s">
        <v>115</v>
      </c>
      <c r="D227"/>
      <c r="E227"/>
      <c r="F227" s="16">
        <v>8.99</v>
      </c>
      <c r="G227" s="16">
        <f>Table2[[#This Row],[Cost  Price]]*1.25</f>
        <v>11.237500000000001</v>
      </c>
      <c r="H227" s="16">
        <f>Table2[[#This Row],[ORDER QTY]]*Table2[[#This Row],[Sale Price]]</f>
        <v>0</v>
      </c>
    </row>
    <row r="228" spans="1:8">
      <c r="A228" t="s">
        <v>675</v>
      </c>
      <c r="B228" t="s">
        <v>671</v>
      </c>
      <c r="C228" t="s">
        <v>99</v>
      </c>
      <c r="D228"/>
      <c r="E228"/>
      <c r="F228" s="16">
        <v>25.99</v>
      </c>
      <c r="G228" s="16">
        <f>Table2[[#This Row],[Cost  Price]]*1.25</f>
        <v>32.487499999999997</v>
      </c>
      <c r="H228" s="16">
        <f>Table2[[#This Row],[ORDER QTY]]*Table2[[#This Row],[Sale Price]]</f>
        <v>0</v>
      </c>
    </row>
    <row r="229" spans="1:8">
      <c r="A229" s="29"/>
      <c r="B229" s="29" t="s">
        <v>697</v>
      </c>
      <c r="C229" s="29"/>
      <c r="D229" s="29"/>
      <c r="E229" s="29"/>
      <c r="F229" s="30"/>
      <c r="G229" s="30"/>
      <c r="H229" s="30"/>
    </row>
    <row r="230" spans="1:8">
      <c r="A230" t="s">
        <v>698</v>
      </c>
      <c r="B230" t="s">
        <v>699</v>
      </c>
      <c r="C230" t="s">
        <v>108</v>
      </c>
      <c r="D230"/>
      <c r="E230"/>
      <c r="F230" s="16">
        <v>1.79</v>
      </c>
      <c r="G230" s="16">
        <f>Table2[[#This Row],[Cost  Price]]*1.25</f>
        <v>2.2374999999999998</v>
      </c>
      <c r="H230" s="16">
        <f>Table2[[#This Row],[ORDER QTY]]*Table2[[#This Row],[Sale Price]]</f>
        <v>0</v>
      </c>
    </row>
    <row r="231" spans="1:8">
      <c r="A231" t="s">
        <v>700</v>
      </c>
      <c r="B231" t="s">
        <v>701</v>
      </c>
      <c r="C231" t="s">
        <v>108</v>
      </c>
      <c r="D231"/>
      <c r="E231"/>
      <c r="F231" s="16">
        <v>1.89</v>
      </c>
      <c r="G231" s="16">
        <f>Table2[[#This Row],[Cost  Price]]*1.25</f>
        <v>2.3624999999999998</v>
      </c>
      <c r="H231" s="16">
        <f>Table2[[#This Row],[ORDER QTY]]*Table2[[#This Row],[Sale Price]]</f>
        <v>0</v>
      </c>
    </row>
    <row r="232" spans="1:8">
      <c r="A232" t="s">
        <v>702</v>
      </c>
      <c r="B232" t="s">
        <v>1138</v>
      </c>
      <c r="C232" t="s">
        <v>704</v>
      </c>
      <c r="D232"/>
      <c r="E232"/>
      <c r="F232" s="16">
        <v>19.989999999999998</v>
      </c>
      <c r="G232" s="16">
        <f>Table2[[#This Row],[Cost  Price]]*1.25</f>
        <v>24.987499999999997</v>
      </c>
      <c r="H232" s="16">
        <f>Table2[[#This Row],[ORDER QTY]]*Table2[[#This Row],[Sale Price]]</f>
        <v>0</v>
      </c>
    </row>
    <row r="233" spans="1:8">
      <c r="A233" t="s">
        <v>703</v>
      </c>
      <c r="B233" t="s">
        <v>1139</v>
      </c>
      <c r="C233" t="s">
        <v>704</v>
      </c>
      <c r="D233"/>
      <c r="E233"/>
      <c r="F233" s="16">
        <v>29.49</v>
      </c>
      <c r="G233" s="16">
        <f>Table2[[#This Row],[Cost  Price]]*1.25</f>
        <v>36.862499999999997</v>
      </c>
      <c r="H233" s="16">
        <f>Table2[[#This Row],[ORDER QTY]]*Table2[[#This Row],[Sale Price]]</f>
        <v>0</v>
      </c>
    </row>
    <row r="234" spans="1:8">
      <c r="A234" t="s">
        <v>705</v>
      </c>
      <c r="B234" t="s">
        <v>1140</v>
      </c>
      <c r="C234" t="s">
        <v>704</v>
      </c>
      <c r="D234"/>
      <c r="E234"/>
      <c r="F234" s="16">
        <v>25.49</v>
      </c>
      <c r="G234" s="16">
        <f>Table2[[#This Row],[Cost  Price]]*1.25</f>
        <v>31.862499999999997</v>
      </c>
      <c r="H234" s="16">
        <f>Table2[[#This Row],[ORDER QTY]]*Table2[[#This Row],[Sale Price]]</f>
        <v>0</v>
      </c>
    </row>
    <row r="235" spans="1:8">
      <c r="A235" t="s">
        <v>706</v>
      </c>
      <c r="B235" t="s">
        <v>1140</v>
      </c>
      <c r="C235" t="s">
        <v>1141</v>
      </c>
      <c r="D235"/>
      <c r="E235"/>
      <c r="F235" s="16">
        <v>13.49</v>
      </c>
      <c r="G235" s="16">
        <f>Table2[[#This Row],[Cost  Price]]*1.25</f>
        <v>16.862500000000001</v>
      </c>
      <c r="H235" s="16">
        <f>Table2[[#This Row],[ORDER QTY]]*Table2[[#This Row],[Sale Price]]</f>
        <v>0</v>
      </c>
    </row>
    <row r="236" spans="1:8">
      <c r="A236" t="s">
        <v>708</v>
      </c>
      <c r="B236" t="s">
        <v>709</v>
      </c>
      <c r="C236" t="s">
        <v>710</v>
      </c>
      <c r="D236"/>
      <c r="E236"/>
      <c r="F236" s="16">
        <v>21.99</v>
      </c>
      <c r="G236" s="16">
        <f>Table2[[#This Row],[Cost  Price]]*1.25</f>
        <v>27.487499999999997</v>
      </c>
      <c r="H236" s="16">
        <f>Table2[[#This Row],[ORDER QTY]]*Table2[[#This Row],[Sale Price]]</f>
        <v>0</v>
      </c>
    </row>
    <row r="237" spans="1:8">
      <c r="A237" t="s">
        <v>711</v>
      </c>
      <c r="B237" t="s">
        <v>712</v>
      </c>
      <c r="C237" t="s">
        <v>707</v>
      </c>
      <c r="D237"/>
      <c r="E237"/>
      <c r="F237" s="16">
        <v>16.989999999999998</v>
      </c>
      <c r="G237" s="16">
        <f>Table2[[#This Row],[Cost  Price]]*1.25</f>
        <v>21.237499999999997</v>
      </c>
      <c r="H237" s="16">
        <f>Table2[[#This Row],[ORDER QTY]]*Table2[[#This Row],[Sale Price]]</f>
        <v>0</v>
      </c>
    </row>
    <row r="238" spans="1:8">
      <c r="A238" t="s">
        <v>713</v>
      </c>
      <c r="B238" t="s">
        <v>714</v>
      </c>
      <c r="C238" t="s">
        <v>1150</v>
      </c>
      <c r="D238"/>
      <c r="E238" t="s">
        <v>715</v>
      </c>
      <c r="F238" s="16">
        <v>23.99</v>
      </c>
      <c r="G238" s="16">
        <f>Table2[[#This Row],[Cost  Price]]*1.25</f>
        <v>29.987499999999997</v>
      </c>
      <c r="H238" s="16">
        <f>Table2[[#This Row],[ORDER QTY]]*Table2[[#This Row],[Sale Price]]</f>
        <v>0</v>
      </c>
    </row>
    <row r="239" spans="1:8">
      <c r="A239" t="s">
        <v>716</v>
      </c>
      <c r="B239" t="s">
        <v>1142</v>
      </c>
      <c r="C239" t="s">
        <v>1143</v>
      </c>
      <c r="D239"/>
      <c r="E239"/>
      <c r="F239" s="16">
        <v>25.99</v>
      </c>
      <c r="G239" s="16">
        <f>Table2[[#This Row],[Cost  Price]]*1.25</f>
        <v>32.487499999999997</v>
      </c>
      <c r="H239" s="16">
        <f>Table2[[#This Row],[ORDER QTY]]*Table2[[#This Row],[Sale Price]]</f>
        <v>0</v>
      </c>
    </row>
    <row r="240" spans="1:8">
      <c r="A240" t="s">
        <v>717</v>
      </c>
      <c r="B240" t="s">
        <v>1031</v>
      </c>
      <c r="C240" t="s">
        <v>718</v>
      </c>
      <c r="D240"/>
      <c r="E240"/>
      <c r="F240" s="16">
        <v>17.489999999999998</v>
      </c>
      <c r="G240" s="16">
        <f>Table2[[#This Row],[Cost  Price]]*1.25</f>
        <v>21.862499999999997</v>
      </c>
      <c r="H240" s="16">
        <f>Table2[[#This Row],[ORDER QTY]]*Table2[[#This Row],[Sale Price]]</f>
        <v>0</v>
      </c>
    </row>
    <row r="241" spans="1:8">
      <c r="A241" t="s">
        <v>719</v>
      </c>
      <c r="B241" t="s">
        <v>720</v>
      </c>
      <c r="C241" t="s">
        <v>1144</v>
      </c>
      <c r="D241"/>
      <c r="E241" t="s">
        <v>722</v>
      </c>
      <c r="F241" s="16">
        <v>23.49</v>
      </c>
      <c r="G241" s="16">
        <v>0</v>
      </c>
      <c r="H241" s="16">
        <f>Table2[[#This Row],[ORDER QTY]]*Table2[[#This Row],[Sale Price]]</f>
        <v>0</v>
      </c>
    </row>
    <row r="242" spans="1:8">
      <c r="A242" t="s">
        <v>721</v>
      </c>
      <c r="B242" t="s">
        <v>1149</v>
      </c>
      <c r="C242" t="s">
        <v>1145</v>
      </c>
      <c r="D242"/>
      <c r="E242" t="s">
        <v>722</v>
      </c>
      <c r="F242" s="16">
        <v>32.99</v>
      </c>
      <c r="G242" s="16">
        <f>Table2[[#This Row],[Cost  Price]]*1.25</f>
        <v>41.237500000000004</v>
      </c>
      <c r="H242" s="16">
        <f>Table2[[#This Row],[ORDER QTY]]*Table2[[#This Row],[Sale Price]]</f>
        <v>0</v>
      </c>
    </row>
    <row r="243" spans="1:8">
      <c r="A243" s="29"/>
      <c r="B243" s="29" t="s">
        <v>733</v>
      </c>
      <c r="C243" s="29"/>
      <c r="D243" s="29"/>
      <c r="E243" s="29"/>
      <c r="F243" s="30"/>
      <c r="G243" s="30"/>
      <c r="H243" s="30"/>
    </row>
    <row r="244" spans="1:8">
      <c r="A244" t="s">
        <v>734</v>
      </c>
      <c r="B244" t="s">
        <v>1032</v>
      </c>
      <c r="C244" t="s">
        <v>735</v>
      </c>
      <c r="D244"/>
      <c r="E244"/>
      <c r="F244" s="16">
        <v>15.09</v>
      </c>
      <c r="G244" s="16">
        <f>Table2[[#This Row],[Cost  Price]]*1.25</f>
        <v>18.862500000000001</v>
      </c>
      <c r="H244" s="16">
        <f>Table2[[#This Row],[ORDER QTY]]*Table2[[#This Row],[Sale Price]]</f>
        <v>0</v>
      </c>
    </row>
    <row r="245" spans="1:8">
      <c r="A245" t="s">
        <v>736</v>
      </c>
      <c r="B245" t="s">
        <v>737</v>
      </c>
      <c r="C245" t="s">
        <v>735</v>
      </c>
      <c r="D245"/>
      <c r="E245"/>
      <c r="F245" s="16">
        <v>15.09</v>
      </c>
      <c r="G245" s="16">
        <f>Table2[[#This Row],[Cost  Price]]*1.25</f>
        <v>18.862500000000001</v>
      </c>
      <c r="H245" s="16">
        <f>Table2[[#This Row],[ORDER QTY]]*Table2[[#This Row],[Sale Price]]</f>
        <v>0</v>
      </c>
    </row>
    <row r="246" spans="1:8">
      <c r="A246" t="s">
        <v>738</v>
      </c>
      <c r="B246" t="s">
        <v>739</v>
      </c>
      <c r="C246" t="s">
        <v>735</v>
      </c>
      <c r="D246"/>
      <c r="E246"/>
      <c r="F246" s="16">
        <v>15.09</v>
      </c>
      <c r="G246" s="16">
        <f>Table2[[#This Row],[Cost  Price]]*1.25</f>
        <v>18.862500000000001</v>
      </c>
      <c r="H246" s="16">
        <f>Table2[[#This Row],[ORDER QTY]]*Table2[[#This Row],[Sale Price]]</f>
        <v>0</v>
      </c>
    </row>
    <row r="247" spans="1:8">
      <c r="A247" t="s">
        <v>740</v>
      </c>
      <c r="B247" t="s">
        <v>741</v>
      </c>
      <c r="C247" t="s">
        <v>735</v>
      </c>
      <c r="D247"/>
      <c r="E247"/>
      <c r="F247" s="16">
        <v>15.09</v>
      </c>
      <c r="G247" s="16">
        <f>Table2[[#This Row],[Cost  Price]]*1.25</f>
        <v>18.862500000000001</v>
      </c>
      <c r="H247" s="16">
        <f>Table2[[#This Row],[ORDER QTY]]*Table2[[#This Row],[Sale Price]]</f>
        <v>0</v>
      </c>
    </row>
    <row r="248" spans="1:8">
      <c r="A248" t="s">
        <v>742</v>
      </c>
      <c r="B248" t="s">
        <v>743</v>
      </c>
      <c r="C248" t="s">
        <v>744</v>
      </c>
      <c r="D248"/>
      <c r="E248"/>
      <c r="F248" s="16">
        <v>15.09</v>
      </c>
      <c r="G248" s="16">
        <f>Table2[[#This Row],[Cost  Price]]*1.25</f>
        <v>18.862500000000001</v>
      </c>
      <c r="H248" s="16">
        <f>Table2[[#This Row],[ORDER QTY]]*Table2[[#This Row],[Sale Price]]</f>
        <v>0</v>
      </c>
    </row>
    <row r="249" spans="1:8">
      <c r="A249" t="s">
        <v>792</v>
      </c>
      <c r="B249" t="s">
        <v>793</v>
      </c>
      <c r="C249" t="s">
        <v>794</v>
      </c>
      <c r="D249"/>
      <c r="E249"/>
      <c r="F249" s="16">
        <v>17.989999999999998</v>
      </c>
      <c r="G249" s="16">
        <f>Table2[[#This Row],[Cost  Price]]*1.25</f>
        <v>22.487499999999997</v>
      </c>
      <c r="H249" s="16">
        <f>Table2[[#This Row],[ORDER QTY]]*Table2[[#This Row],[Sale Price]]</f>
        <v>0</v>
      </c>
    </row>
    <row r="250" spans="1:8">
      <c r="A250" t="s">
        <v>795</v>
      </c>
      <c r="B250" t="s">
        <v>796</v>
      </c>
      <c r="C250" t="s">
        <v>1146</v>
      </c>
      <c r="D250"/>
      <c r="E250"/>
      <c r="F250" s="16">
        <v>16.45</v>
      </c>
      <c r="G250" s="16">
        <f>Table2[[#This Row],[Cost  Price]]*1.25</f>
        <v>20.5625</v>
      </c>
      <c r="H250" s="16">
        <f>Table2[[#This Row],[ORDER QTY]]*Table2[[#This Row],[Sale Price]]</f>
        <v>0</v>
      </c>
    </row>
    <row r="251" spans="1:8">
      <c r="A251" t="s">
        <v>745</v>
      </c>
      <c r="B251" t="s">
        <v>746</v>
      </c>
      <c r="C251" t="s">
        <v>747</v>
      </c>
      <c r="D251"/>
      <c r="E251"/>
      <c r="F251" s="16">
        <v>15.99</v>
      </c>
      <c r="G251" s="16">
        <f>Table2[[#This Row],[Cost  Price]]*1.25</f>
        <v>19.987500000000001</v>
      </c>
      <c r="H251" s="16">
        <f>Table2[[#This Row],[ORDER QTY]]*Table2[[#This Row],[Sale Price]]</f>
        <v>0</v>
      </c>
    </row>
    <row r="252" spans="1:8">
      <c r="A252" t="s">
        <v>748</v>
      </c>
      <c r="B252" t="s">
        <v>749</v>
      </c>
      <c r="C252" t="s">
        <v>747</v>
      </c>
      <c r="D252"/>
      <c r="E252"/>
      <c r="F252" s="16">
        <v>15.99</v>
      </c>
      <c r="G252" s="16">
        <f>Table2[[#This Row],[Cost  Price]]*1.25</f>
        <v>19.987500000000001</v>
      </c>
      <c r="H252" s="16">
        <f>Table2[[#This Row],[ORDER QTY]]*Table2[[#This Row],[Sale Price]]</f>
        <v>0</v>
      </c>
    </row>
    <row r="253" spans="1:8">
      <c r="A253" s="29"/>
      <c r="B253" s="29" t="s">
        <v>750</v>
      </c>
      <c r="C253" s="29"/>
      <c r="D253" s="29"/>
      <c r="E253" s="29"/>
      <c r="F253" s="30"/>
      <c r="G253" s="30"/>
      <c r="H253" s="30"/>
    </row>
    <row r="254" spans="1:8">
      <c r="A254" t="s">
        <v>751</v>
      </c>
      <c r="B254" t="s">
        <v>752</v>
      </c>
      <c r="C254" t="s">
        <v>753</v>
      </c>
      <c r="D254"/>
      <c r="E254"/>
      <c r="F254" s="16">
        <v>21.49</v>
      </c>
      <c r="G254" s="16">
        <f>Table2[[#This Row],[Cost  Price]]*1.25</f>
        <v>26.862499999999997</v>
      </c>
      <c r="H254" s="16">
        <f>Table2[[#This Row],[ORDER QTY]]*Table2[[#This Row],[Sale Price]]</f>
        <v>0</v>
      </c>
    </row>
    <row r="255" spans="1:8">
      <c r="A255" t="s">
        <v>754</v>
      </c>
      <c r="B255" t="s">
        <v>755</v>
      </c>
      <c r="C255" t="s">
        <v>756</v>
      </c>
      <c r="D255"/>
      <c r="E255"/>
      <c r="F255" s="16">
        <v>20.99</v>
      </c>
      <c r="G255" s="16">
        <f>Table2[[#This Row],[Cost  Price]]*1.25</f>
        <v>26.237499999999997</v>
      </c>
      <c r="H255" s="16">
        <f>Table2[[#This Row],[ORDER QTY]]*Table2[[#This Row],[Sale Price]]</f>
        <v>0</v>
      </c>
    </row>
    <row r="256" spans="1:8">
      <c r="A256" t="s">
        <v>757</v>
      </c>
      <c r="B256" t="s">
        <v>758</v>
      </c>
      <c r="C256" t="s">
        <v>759</v>
      </c>
      <c r="D256"/>
      <c r="E256"/>
      <c r="F256" s="16">
        <v>21.79</v>
      </c>
      <c r="G256" s="16">
        <f>Table2[[#This Row],[Cost  Price]]*1.25</f>
        <v>27.237499999999997</v>
      </c>
      <c r="H256" s="16">
        <f>Table2[[#This Row],[ORDER QTY]]*Table2[[#This Row],[Sale Price]]</f>
        <v>0</v>
      </c>
    </row>
    <row r="257" spans="1:8">
      <c r="A257" t="s">
        <v>760</v>
      </c>
      <c r="B257" t="s">
        <v>761</v>
      </c>
      <c r="C257" t="s">
        <v>762</v>
      </c>
      <c r="D257"/>
      <c r="E257"/>
      <c r="F257" s="16">
        <v>26.49</v>
      </c>
      <c r="G257" s="16">
        <f>Table2[[#This Row],[Cost  Price]]*1.25</f>
        <v>33.112499999999997</v>
      </c>
      <c r="H257" s="16">
        <f>Table2[[#This Row],[ORDER QTY]]*Table2[[#This Row],[Sale Price]]</f>
        <v>0</v>
      </c>
    </row>
    <row r="258" spans="1:8">
      <c r="A258" t="s">
        <v>763</v>
      </c>
      <c r="B258" t="s">
        <v>764</v>
      </c>
      <c r="C258" t="s">
        <v>765</v>
      </c>
      <c r="D258"/>
      <c r="E258"/>
      <c r="F258" s="16">
        <v>38.99</v>
      </c>
      <c r="G258" s="16">
        <f>Table2[[#This Row],[Cost  Price]]*1.25</f>
        <v>48.737500000000004</v>
      </c>
      <c r="H258" s="16">
        <f>Table2[[#This Row],[ORDER QTY]]*Table2[[#This Row],[Sale Price]]</f>
        <v>0</v>
      </c>
    </row>
    <row r="259" spans="1:8">
      <c r="A259" t="s">
        <v>766</v>
      </c>
      <c r="B259" t="s">
        <v>767</v>
      </c>
      <c r="C259" t="s">
        <v>768</v>
      </c>
      <c r="D259"/>
      <c r="E259"/>
      <c r="F259" s="16">
        <v>38.99</v>
      </c>
      <c r="G259" s="16">
        <f>Table2[[#This Row],[Cost  Price]]*1.25</f>
        <v>48.737500000000004</v>
      </c>
      <c r="H259" s="16">
        <f>Table2[[#This Row],[ORDER QTY]]*Table2[[#This Row],[Sale Price]]</f>
        <v>0</v>
      </c>
    </row>
    <row r="260" spans="1:8">
      <c r="A260" t="s">
        <v>769</v>
      </c>
      <c r="B260" t="s">
        <v>770</v>
      </c>
      <c r="C260" t="s">
        <v>771</v>
      </c>
      <c r="D260"/>
      <c r="E260"/>
      <c r="F260" s="16">
        <v>34.99</v>
      </c>
      <c r="G260" s="16">
        <f>Table2[[#This Row],[Cost  Price]]*1.25</f>
        <v>43.737500000000004</v>
      </c>
      <c r="H260" s="16">
        <f>Table2[[#This Row],[ORDER QTY]]*Table2[[#This Row],[Sale Price]]</f>
        <v>0</v>
      </c>
    </row>
    <row r="261" spans="1:8">
      <c r="A261" t="s">
        <v>772</v>
      </c>
      <c r="B261" t="s">
        <v>773</v>
      </c>
      <c r="C261" t="s">
        <v>774</v>
      </c>
      <c r="D261"/>
      <c r="E261"/>
      <c r="F261" s="16">
        <v>21.49</v>
      </c>
      <c r="G261" s="16">
        <f>Table2[[#This Row],[Cost  Price]]*1.25</f>
        <v>26.862499999999997</v>
      </c>
      <c r="H261" s="16">
        <f>Table2[[#This Row],[ORDER QTY]]*Table2[[#This Row],[Sale Price]]</f>
        <v>0</v>
      </c>
    </row>
    <row r="262" spans="1:8">
      <c r="A262" t="s">
        <v>775</v>
      </c>
      <c r="B262" t="s">
        <v>776</v>
      </c>
      <c r="C262" t="s">
        <v>777</v>
      </c>
      <c r="D262"/>
      <c r="E262"/>
      <c r="F262" s="16">
        <v>31.49</v>
      </c>
      <c r="G262" s="16">
        <f>Table2[[#This Row],[Cost  Price]]*1.25</f>
        <v>39.362499999999997</v>
      </c>
      <c r="H262" s="16">
        <f>Table2[[#This Row],[ORDER QTY]]*Table2[[#This Row],[Sale Price]]</f>
        <v>0</v>
      </c>
    </row>
    <row r="263" spans="1:8">
      <c r="A263" t="s">
        <v>778</v>
      </c>
      <c r="B263" t="s">
        <v>779</v>
      </c>
      <c r="C263" t="s">
        <v>1147</v>
      </c>
      <c r="D263"/>
      <c r="E263"/>
      <c r="F263" s="16">
        <v>25.99</v>
      </c>
      <c r="G263" s="16">
        <f>Table2[[#This Row],[Cost  Price]]*1.25</f>
        <v>32.487499999999997</v>
      </c>
      <c r="H263" s="16">
        <f>Table2[[#This Row],[ORDER QTY]]*Table2[[#This Row],[Sale Price]]</f>
        <v>0</v>
      </c>
    </row>
    <row r="264" spans="1:8">
      <c r="A264" t="s">
        <v>780</v>
      </c>
      <c r="B264" t="s">
        <v>781</v>
      </c>
      <c r="C264" t="s">
        <v>782</v>
      </c>
      <c r="D264"/>
      <c r="E264"/>
      <c r="F264" s="16">
        <v>25.99</v>
      </c>
      <c r="G264" s="16">
        <f>Table2[[#This Row],[Cost  Price]]*1.25</f>
        <v>32.487499999999997</v>
      </c>
      <c r="H264" s="16">
        <f>Table2[[#This Row],[ORDER QTY]]*Table2[[#This Row],[Sale Price]]</f>
        <v>0</v>
      </c>
    </row>
    <row r="265" spans="1:8">
      <c r="A265" t="s">
        <v>783</v>
      </c>
      <c r="B265" t="s">
        <v>784</v>
      </c>
      <c r="C265" t="s">
        <v>1148</v>
      </c>
      <c r="D265"/>
      <c r="E265"/>
      <c r="F265" s="16">
        <v>31.49</v>
      </c>
      <c r="G265" s="16">
        <f>Table2[[#This Row],[Cost  Price]]*1.25</f>
        <v>39.362499999999997</v>
      </c>
      <c r="H265" s="16">
        <f>Table2[[#This Row],[ORDER QTY]]*Table2[[#This Row],[Sale Price]]</f>
        <v>0</v>
      </c>
    </row>
    <row r="266" spans="1:8">
      <c r="A266" t="s">
        <v>785</v>
      </c>
      <c r="B266" t="s">
        <v>786</v>
      </c>
      <c r="C266" t="s">
        <v>787</v>
      </c>
      <c r="D266"/>
      <c r="E266"/>
      <c r="F266" s="16">
        <v>29.99</v>
      </c>
      <c r="G266" s="16">
        <f>Table2[[#This Row],[Cost  Price]]*1.25</f>
        <v>37.487499999999997</v>
      </c>
      <c r="H266" s="16">
        <f>Table2[[#This Row],[ORDER QTY]]*Table2[[#This Row],[Sale Price]]</f>
        <v>0</v>
      </c>
    </row>
    <row r="267" spans="1:8">
      <c r="A267" t="s">
        <v>788</v>
      </c>
      <c r="B267" t="s">
        <v>789</v>
      </c>
      <c r="C267" t="s">
        <v>1147</v>
      </c>
      <c r="D267"/>
      <c r="E267"/>
      <c r="F267" s="16">
        <v>26.49</v>
      </c>
      <c r="G267" s="16">
        <f>Table2[[#This Row],[Cost  Price]]*1.25</f>
        <v>33.112499999999997</v>
      </c>
      <c r="H267" s="16">
        <f>Table2[[#This Row],[ORDER QTY]]*Table2[[#This Row],[Sale Price]]</f>
        <v>0</v>
      </c>
    </row>
    <row r="268" spans="1:8">
      <c r="A268" t="s">
        <v>772</v>
      </c>
      <c r="B268" t="s">
        <v>790</v>
      </c>
      <c r="C268" t="s">
        <v>791</v>
      </c>
      <c r="D268"/>
      <c r="E268"/>
      <c r="F268" s="16">
        <v>12.49</v>
      </c>
      <c r="G268" s="16">
        <f>Table2[[#This Row],[Cost  Price]]*1.25</f>
        <v>15.612500000000001</v>
      </c>
      <c r="H268" s="16">
        <f>Table2[[#This Row],[ORDER QTY]]*Table2[[#This Row],[Sale Price]]</f>
        <v>0</v>
      </c>
    </row>
    <row r="271" spans="1:8">
      <c r="A271" s="39" t="s">
        <v>1014</v>
      </c>
      <c r="B271" s="39"/>
      <c r="C271" s="39"/>
    </row>
    <row r="272" spans="1:8">
      <c r="A272" s="39"/>
      <c r="B272" s="39"/>
      <c r="C272" s="39"/>
    </row>
    <row r="273" spans="1:7">
      <c r="A273" s="2" t="s">
        <v>654</v>
      </c>
      <c r="B273" s="2" t="s">
        <v>655</v>
      </c>
      <c r="C273" s="2" t="s">
        <v>0</v>
      </c>
      <c r="D273" s="2" t="s">
        <v>1</v>
      </c>
      <c r="E273" s="2" t="s">
        <v>2</v>
      </c>
      <c r="F273" s="19"/>
      <c r="G273" s="19"/>
    </row>
  </sheetData>
  <mergeCells count="2">
    <mergeCell ref="B1:D4"/>
    <mergeCell ref="A271:C272"/>
  </mergeCells>
  <phoneticPr fontId="8" type="noConversion"/>
  <pageMargins left="0.7" right="0.7" top="0.75" bottom="0.75" header="0.3" footer="0.3"/>
  <pageSetup paperSize="9" orientation="portrait" horizontalDpi="1200" verticalDpi="120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</sheetPr>
  <dimension ref="A1:H134"/>
  <sheetViews>
    <sheetView topLeftCell="A104" zoomScaleNormal="100" workbookViewId="0">
      <selection activeCell="C130" sqref="C130"/>
    </sheetView>
  </sheetViews>
  <sheetFormatPr defaultColWidth="27.77734375" defaultRowHeight="14.4"/>
  <cols>
    <col min="1" max="1" width="12.77734375" style="19" customWidth="1"/>
    <col min="2" max="2" width="27.77734375" style="19"/>
    <col min="3" max="3" width="16.77734375" style="19" customWidth="1"/>
    <col min="4" max="4" width="15.77734375" style="19" customWidth="1"/>
    <col min="5" max="5" width="27.77734375" style="19"/>
    <col min="6" max="6" width="27.77734375" style="20" customWidth="1"/>
    <col min="7" max="7" width="27.77734375" style="20"/>
    <col min="8" max="16384" width="27.77734375" style="19"/>
  </cols>
  <sheetData>
    <row r="1" spans="1:8" ht="14.4" customHeight="1">
      <c r="A1" s="3"/>
      <c r="B1" s="37" t="s">
        <v>1174</v>
      </c>
      <c r="C1" s="37"/>
      <c r="D1" s="38"/>
      <c r="E1" s="3"/>
      <c r="F1" s="15"/>
      <c r="G1" s="15"/>
      <c r="H1" s="15"/>
    </row>
    <row r="2" spans="1:8" ht="14.4" customHeight="1">
      <c r="A2" s="3"/>
      <c r="B2" s="37"/>
      <c r="C2" s="37"/>
      <c r="D2" s="38"/>
      <c r="E2" s="3"/>
      <c r="F2" s="15"/>
      <c r="G2" s="15"/>
      <c r="H2" s="15"/>
    </row>
    <row r="3" spans="1:8" ht="14.4" customHeight="1">
      <c r="A3" s="3"/>
      <c r="B3" s="37"/>
      <c r="C3" s="37"/>
      <c r="D3" s="38"/>
      <c r="E3" s="3"/>
      <c r="F3" s="15"/>
      <c r="G3" s="15"/>
      <c r="H3" s="15"/>
    </row>
    <row r="4" spans="1:8" ht="14.4" customHeight="1">
      <c r="A4" s="3"/>
      <c r="B4" s="37"/>
      <c r="C4" s="37"/>
      <c r="D4" s="38"/>
      <c r="E4" s="3"/>
      <c r="F4" s="15"/>
      <c r="G4" s="15"/>
      <c r="H4" s="15"/>
    </row>
    <row r="5" spans="1:8">
      <c r="A5" s="3"/>
      <c r="B5" s="3"/>
      <c r="C5" s="3"/>
      <c r="D5" s="3"/>
      <c r="E5" s="3"/>
      <c r="F5" s="15"/>
      <c r="G5" s="15"/>
      <c r="H5" s="15"/>
    </row>
    <row r="6" spans="1:8">
      <c r="A6" s="1" t="s">
        <v>654</v>
      </c>
      <c r="B6" s="1" t="s">
        <v>1269</v>
      </c>
      <c r="C6" s="1" t="s">
        <v>1270</v>
      </c>
      <c r="D6" s="1" t="s">
        <v>1272</v>
      </c>
      <c r="E6" s="1" t="s">
        <v>1273</v>
      </c>
      <c r="F6" s="18" t="s">
        <v>1151</v>
      </c>
      <c r="G6" s="18" t="s">
        <v>1057</v>
      </c>
      <c r="H6" s="1" t="s">
        <v>1175</v>
      </c>
    </row>
    <row r="7" spans="1:8">
      <c r="A7" s="29"/>
      <c r="B7" s="29" t="s">
        <v>1267</v>
      </c>
      <c r="C7" s="29"/>
      <c r="D7" s="29"/>
      <c r="E7" s="29"/>
      <c r="F7" s="30"/>
      <c r="G7" s="30"/>
      <c r="H7" s="30"/>
    </row>
    <row r="8" spans="1:8">
      <c r="A8" t="s">
        <v>369</v>
      </c>
      <c r="B8" t="s">
        <v>371</v>
      </c>
      <c r="C8" s="35">
        <v>5</v>
      </c>
      <c r="D8" s="35" t="s">
        <v>1271</v>
      </c>
      <c r="E8"/>
      <c r="F8" s="16">
        <v>14.74</v>
      </c>
      <c r="G8" s="16">
        <f>Table1[[#This Row],[Cost Price]]*1.25</f>
        <v>18.425000000000001</v>
      </c>
      <c r="H8" s="16" cm="1">
        <f t="array" aca="1" ref="H8" ca="1">Table1[]*Table1[[#This Row],[Sale Price]]</f>
        <v>0</v>
      </c>
    </row>
    <row r="9" spans="1:8">
      <c r="A9" t="s">
        <v>370</v>
      </c>
      <c r="B9" t="s">
        <v>1152</v>
      </c>
      <c r="C9" s="35">
        <v>6</v>
      </c>
      <c r="D9" s="35" t="s">
        <v>1271</v>
      </c>
      <c r="E9"/>
      <c r="F9" s="16">
        <v>11.83</v>
      </c>
      <c r="G9" s="16">
        <v>12.34</v>
      </c>
      <c r="H9" s="16" cm="1">
        <f t="array" aca="1" ref="H9" ca="1">Table1[]*Table1[[#This Row],[Sale Price]]</f>
        <v>0</v>
      </c>
    </row>
    <row r="10" spans="1:8">
      <c r="A10" t="s">
        <v>372</v>
      </c>
      <c r="B10" t="s">
        <v>1033</v>
      </c>
      <c r="C10" s="35">
        <v>4</v>
      </c>
      <c r="D10" s="35" t="s">
        <v>1271</v>
      </c>
      <c r="E10"/>
      <c r="F10" s="16">
        <v>13.878</v>
      </c>
      <c r="G10" s="16">
        <v>22.09</v>
      </c>
      <c r="H10" s="16" cm="1">
        <f t="array" aca="1" ref="H10" ca="1">Table1[]*Table1[[#This Row],[Sale Price]]</f>
        <v>0</v>
      </c>
    </row>
    <row r="11" spans="1:8">
      <c r="A11" t="s">
        <v>373</v>
      </c>
      <c r="B11" t="s">
        <v>1034</v>
      </c>
      <c r="C11" s="35">
        <v>3</v>
      </c>
      <c r="D11" s="35" t="s">
        <v>1271</v>
      </c>
      <c r="E11"/>
      <c r="F11" s="16">
        <v>14.71</v>
      </c>
      <c r="G11" s="16">
        <v>7.79</v>
      </c>
      <c r="H11" s="16" cm="1">
        <f t="array" aca="1" ref="H11" ca="1">Table1[]*Table1[[#This Row],[Sale Price]]</f>
        <v>0</v>
      </c>
    </row>
    <row r="12" spans="1:8">
      <c r="A12" t="s">
        <v>374</v>
      </c>
      <c r="B12" t="s">
        <v>1035</v>
      </c>
      <c r="C12" s="35">
        <v>5</v>
      </c>
      <c r="D12" s="35" t="s">
        <v>1271</v>
      </c>
      <c r="E12"/>
      <c r="F12" s="16">
        <v>13.11</v>
      </c>
      <c r="G12" s="16">
        <v>11.69</v>
      </c>
      <c r="H12" s="16" cm="1">
        <f t="array" aca="1" ref="H12" ca="1">Table1[]*Table1[[#This Row],[Sale Price]]</f>
        <v>0</v>
      </c>
    </row>
    <row r="13" spans="1:8">
      <c r="A13" t="s">
        <v>375</v>
      </c>
      <c r="B13" t="s">
        <v>1036</v>
      </c>
      <c r="C13" s="35">
        <v>10</v>
      </c>
      <c r="D13" s="35" t="s">
        <v>1271</v>
      </c>
      <c r="E13"/>
      <c r="F13" s="16">
        <v>13.67</v>
      </c>
      <c r="G13" s="16">
        <v>12.99</v>
      </c>
      <c r="H13" s="16" cm="1">
        <f t="array" aca="1" ref="H13" ca="1">Table1[]*Table1[[#This Row],[Sale Price]]</f>
        <v>0</v>
      </c>
    </row>
    <row r="14" spans="1:8">
      <c r="A14" t="s">
        <v>376</v>
      </c>
      <c r="B14" t="s">
        <v>379</v>
      </c>
      <c r="C14" s="35">
        <v>10</v>
      </c>
      <c r="D14" s="35" t="s">
        <v>1271</v>
      </c>
      <c r="E14"/>
      <c r="F14" s="16">
        <v>8.5299999999999994</v>
      </c>
      <c r="G14" s="16">
        <v>12.99</v>
      </c>
      <c r="H14" s="16" cm="1">
        <f t="array" aca="1" ref="H14" ca="1">Table1[]*Table1[[#This Row],[Sale Price]]</f>
        <v>0</v>
      </c>
    </row>
    <row r="15" spans="1:8">
      <c r="A15" t="s">
        <v>377</v>
      </c>
      <c r="B15" t="s">
        <v>379</v>
      </c>
      <c r="C15" s="35">
        <v>1</v>
      </c>
      <c r="D15" s="35" t="s">
        <v>1274</v>
      </c>
      <c r="E15"/>
      <c r="F15" s="16">
        <v>1.06</v>
      </c>
      <c r="G15" s="16">
        <v>12.99</v>
      </c>
      <c r="H15" s="16" cm="1">
        <f t="array" aca="1" ref="H15" ca="1">Table1[]*Table1[[#This Row],[Sale Price]]</f>
        <v>0</v>
      </c>
    </row>
    <row r="16" spans="1:8">
      <c r="A16" t="s">
        <v>378</v>
      </c>
      <c r="B16" t="s">
        <v>382</v>
      </c>
      <c r="C16" s="35">
        <v>10</v>
      </c>
      <c r="D16" s="35" t="s">
        <v>1271</v>
      </c>
      <c r="E16"/>
      <c r="F16" s="16">
        <v>9.17</v>
      </c>
      <c r="G16" s="16">
        <v>14.29</v>
      </c>
      <c r="H16" s="16" cm="1">
        <f t="array" aca="1" ref="H16" ca="1">Table1[]*Table1[[#This Row],[Sale Price]]</f>
        <v>0</v>
      </c>
    </row>
    <row r="17" spans="1:8">
      <c r="A17" t="s">
        <v>380</v>
      </c>
      <c r="B17" t="s">
        <v>385</v>
      </c>
      <c r="C17" s="35">
        <v>5</v>
      </c>
      <c r="D17" s="35" t="s">
        <v>1271</v>
      </c>
      <c r="E17"/>
      <c r="F17" s="16">
        <v>11.7</v>
      </c>
      <c r="G17" s="16">
        <v>15.59</v>
      </c>
      <c r="H17" s="16" cm="1">
        <f t="array" aca="1" ref="H17" ca="1">Table1[]*Table1[[#This Row],[Sale Price]]</f>
        <v>0</v>
      </c>
    </row>
    <row r="18" spans="1:8">
      <c r="A18" t="s">
        <v>381</v>
      </c>
      <c r="B18" t="s">
        <v>555</v>
      </c>
      <c r="C18" s="35">
        <v>1</v>
      </c>
      <c r="D18" s="35" t="s">
        <v>1271</v>
      </c>
      <c r="E18"/>
      <c r="F18" s="16">
        <v>9.83</v>
      </c>
      <c r="G18" s="16">
        <v>21.44</v>
      </c>
      <c r="H18" s="16" cm="1">
        <f t="array" aca="1" ref="H18" ca="1">Table1[]*Table1[[#This Row],[Sale Price]]</f>
        <v>0</v>
      </c>
    </row>
    <row r="19" spans="1:8">
      <c r="A19" t="s">
        <v>383</v>
      </c>
      <c r="B19" t="s">
        <v>1037</v>
      </c>
      <c r="C19" s="35">
        <v>1</v>
      </c>
      <c r="D19" s="35" t="s">
        <v>1271</v>
      </c>
      <c r="E19"/>
      <c r="F19" s="16">
        <v>10.54</v>
      </c>
      <c r="G19" s="16">
        <v>20.14</v>
      </c>
      <c r="H19" s="16" cm="1">
        <f t="array" aca="1" ref="H19" ca="1">Table1[]*Table1[[#This Row],[Sale Price]]</f>
        <v>0</v>
      </c>
    </row>
    <row r="20" spans="1:8">
      <c r="A20" t="s">
        <v>384</v>
      </c>
      <c r="B20" t="s">
        <v>556</v>
      </c>
      <c r="C20" s="35">
        <v>1</v>
      </c>
      <c r="D20" s="35" t="s">
        <v>1271</v>
      </c>
      <c r="E20"/>
      <c r="F20" s="16">
        <v>14.9</v>
      </c>
      <c r="G20" s="16">
        <v>23.39</v>
      </c>
      <c r="H20" s="16" cm="1">
        <f t="array" aca="1" ref="H20" ca="1">Table1[]*Table1[[#This Row],[Sale Price]]</f>
        <v>0</v>
      </c>
    </row>
    <row r="21" spans="1:8">
      <c r="A21" t="s">
        <v>386</v>
      </c>
      <c r="B21" t="s">
        <v>389</v>
      </c>
      <c r="C21" s="35">
        <v>1</v>
      </c>
      <c r="D21" s="35" t="s">
        <v>1274</v>
      </c>
      <c r="E21"/>
      <c r="F21" s="16">
        <v>2.93</v>
      </c>
      <c r="G21" s="16">
        <v>13.64</v>
      </c>
      <c r="H21" s="16" cm="1">
        <f t="array" aca="1" ref="H21" ca="1">Table1[]*Table1[[#This Row],[Sale Price]]</f>
        <v>0</v>
      </c>
    </row>
    <row r="22" spans="1:8">
      <c r="A22" t="s">
        <v>387</v>
      </c>
      <c r="B22" t="s">
        <v>391</v>
      </c>
      <c r="C22" s="35">
        <v>5</v>
      </c>
      <c r="D22" s="35" t="s">
        <v>1271</v>
      </c>
      <c r="E22"/>
      <c r="F22" s="16">
        <v>18.57</v>
      </c>
      <c r="G22" s="16">
        <v>19.23</v>
      </c>
      <c r="H22" s="16" cm="1">
        <f t="array" aca="1" ref="H22" ca="1">Table1[]*Table1[[#This Row],[Sale Price]]</f>
        <v>0</v>
      </c>
    </row>
    <row r="23" spans="1:8">
      <c r="A23" t="s">
        <v>412</v>
      </c>
      <c r="B23" t="s">
        <v>393</v>
      </c>
      <c r="C23" s="35">
        <v>5</v>
      </c>
      <c r="D23" s="35" t="s">
        <v>1271</v>
      </c>
      <c r="E23"/>
      <c r="F23" s="16">
        <v>19.02</v>
      </c>
      <c r="G23" s="16">
        <v>20.79</v>
      </c>
      <c r="H23" s="16" cm="1">
        <f t="array" aca="1" ref="H23" ca="1">Table1[]*Table1[[#This Row],[Sale Price]]</f>
        <v>0</v>
      </c>
    </row>
    <row r="24" spans="1:8">
      <c r="A24" t="s">
        <v>388</v>
      </c>
      <c r="B24" t="s">
        <v>395</v>
      </c>
      <c r="C24" s="35">
        <v>5</v>
      </c>
      <c r="D24" s="35" t="s">
        <v>1271</v>
      </c>
      <c r="E24"/>
      <c r="F24" s="16">
        <v>19.260000000000002</v>
      </c>
      <c r="G24" s="16">
        <v>18.190000000000001</v>
      </c>
      <c r="H24" s="16" cm="1">
        <f t="array" aca="1" ref="H24" ca="1">Table1[]*Table1[[#This Row],[Sale Price]]</f>
        <v>0</v>
      </c>
    </row>
    <row r="25" spans="1:8">
      <c r="A25" t="s">
        <v>390</v>
      </c>
      <c r="B25" t="s">
        <v>1153</v>
      </c>
      <c r="C25" s="35">
        <v>5</v>
      </c>
      <c r="D25" s="35" t="s">
        <v>1271</v>
      </c>
      <c r="E25"/>
      <c r="F25" s="16">
        <v>16.2</v>
      </c>
      <c r="G25" s="16">
        <v>21.44</v>
      </c>
      <c r="H25" s="16" cm="1">
        <f t="array" aca="1" ref="H25" ca="1">Table1[]*Table1[[#This Row],[Sale Price]]</f>
        <v>0</v>
      </c>
    </row>
    <row r="26" spans="1:8">
      <c r="A26" t="s">
        <v>392</v>
      </c>
      <c r="B26" t="s">
        <v>398</v>
      </c>
      <c r="C26" s="35">
        <v>3</v>
      </c>
      <c r="D26" s="35" t="s">
        <v>1271</v>
      </c>
      <c r="E26"/>
      <c r="F26" s="16">
        <v>11.79</v>
      </c>
      <c r="G26" s="16">
        <v>15.33</v>
      </c>
      <c r="H26" s="16" cm="1">
        <f t="array" aca="1" ref="H26" ca="1">Table1[]*Table1[[#This Row],[Sale Price]]</f>
        <v>0</v>
      </c>
    </row>
    <row r="27" spans="1:8">
      <c r="A27" t="s">
        <v>394</v>
      </c>
      <c r="B27" t="s">
        <v>400</v>
      </c>
      <c r="C27" s="35">
        <v>3</v>
      </c>
      <c r="D27" s="35" t="s">
        <v>1271</v>
      </c>
      <c r="E27"/>
      <c r="F27" s="16">
        <v>10.99</v>
      </c>
      <c r="G27" s="16">
        <v>12.99</v>
      </c>
      <c r="H27" s="16" cm="1">
        <f t="array" aca="1" ref="H27" ca="1">Table1[]*Table1[[#This Row],[Sale Price]]</f>
        <v>0</v>
      </c>
    </row>
    <row r="28" spans="1:8">
      <c r="A28" t="s">
        <v>396</v>
      </c>
      <c r="B28" t="s">
        <v>402</v>
      </c>
      <c r="C28" s="35">
        <v>3</v>
      </c>
      <c r="D28" s="35" t="s">
        <v>1271</v>
      </c>
      <c r="E28"/>
      <c r="F28" s="16">
        <v>10.99</v>
      </c>
      <c r="G28" s="16">
        <v>23.13</v>
      </c>
      <c r="H28" s="16" cm="1">
        <f t="array" aca="1" ref="H28" ca="1">Table1[]*Table1[[#This Row],[Sale Price]]</f>
        <v>0</v>
      </c>
    </row>
    <row r="29" spans="1:8">
      <c r="A29" t="s">
        <v>397</v>
      </c>
      <c r="B29" t="s">
        <v>557</v>
      </c>
      <c r="C29" s="35">
        <v>6</v>
      </c>
      <c r="D29" s="35" t="s">
        <v>1271</v>
      </c>
      <c r="E29"/>
      <c r="F29" s="16">
        <v>10.92</v>
      </c>
      <c r="G29" s="16">
        <v>14.29</v>
      </c>
      <c r="H29" s="16" cm="1">
        <f t="array" aca="1" ref="H29" ca="1">Table1[]*Table1[[#This Row],[Sale Price]]</f>
        <v>0</v>
      </c>
    </row>
    <row r="30" spans="1:8">
      <c r="A30" t="s">
        <v>399</v>
      </c>
      <c r="B30" t="s">
        <v>407</v>
      </c>
      <c r="C30" s="35">
        <v>3</v>
      </c>
      <c r="D30" s="35" t="s">
        <v>1271</v>
      </c>
      <c r="E30"/>
      <c r="F30" s="16">
        <v>13.49</v>
      </c>
      <c r="G30" s="16">
        <v>16.89</v>
      </c>
      <c r="H30" s="16" cm="1">
        <f t="array" aca="1" ref="H30" ca="1">Table1[]*Table1[[#This Row],[Sale Price]]</f>
        <v>0</v>
      </c>
    </row>
    <row r="31" spans="1:8">
      <c r="A31" t="s">
        <v>401</v>
      </c>
      <c r="B31" t="s">
        <v>409</v>
      </c>
      <c r="C31" s="35">
        <v>3</v>
      </c>
      <c r="D31" s="35" t="s">
        <v>1271</v>
      </c>
      <c r="E31"/>
      <c r="F31" s="16">
        <v>13.29</v>
      </c>
      <c r="G31" s="16">
        <v>15.59</v>
      </c>
      <c r="H31" s="16" cm="1">
        <f t="array" aca="1" ref="H31" ca="1">Table1[]*Table1[[#This Row],[Sale Price]]</f>
        <v>0</v>
      </c>
    </row>
    <row r="32" spans="1:8">
      <c r="A32" t="s">
        <v>403</v>
      </c>
      <c r="B32" t="s">
        <v>411</v>
      </c>
      <c r="C32" s="35">
        <v>10</v>
      </c>
      <c r="D32" s="35" t="s">
        <v>1271</v>
      </c>
      <c r="E32"/>
      <c r="F32" s="16">
        <v>8.5</v>
      </c>
      <c r="G32" s="16">
        <v>8.4499999999999993</v>
      </c>
      <c r="H32" s="16" cm="1">
        <f t="array" aca="1" ref="H32" ca="1">Table1[]*Table1[[#This Row],[Sale Price]]</f>
        <v>0</v>
      </c>
    </row>
    <row r="33" spans="1:8">
      <c r="A33" t="s">
        <v>404</v>
      </c>
      <c r="B33" t="s">
        <v>414</v>
      </c>
      <c r="C33" s="35">
        <v>2.5</v>
      </c>
      <c r="D33" s="35" t="s">
        <v>1271</v>
      </c>
      <c r="E33"/>
      <c r="F33" s="16">
        <v>11.01</v>
      </c>
      <c r="G33" s="16">
        <v>8.0399999999999991</v>
      </c>
      <c r="H33" s="16" cm="1">
        <f t="array" aca="1" ref="H33" ca="1">Table1[]*Table1[[#This Row],[Sale Price]]</f>
        <v>0</v>
      </c>
    </row>
    <row r="34" spans="1:8">
      <c r="A34" t="s">
        <v>406</v>
      </c>
      <c r="B34" t="s">
        <v>416</v>
      </c>
      <c r="C34" s="35">
        <v>2.5</v>
      </c>
      <c r="D34" s="35" t="s">
        <v>1271</v>
      </c>
      <c r="E34"/>
      <c r="F34" s="16">
        <v>13.38</v>
      </c>
      <c r="G34" s="16">
        <v>9.09</v>
      </c>
      <c r="H34" s="16" cm="1">
        <f t="array" aca="1" ref="H34" ca="1">Table1[]*Table1[[#This Row],[Sale Price]]</f>
        <v>0</v>
      </c>
    </row>
    <row r="35" spans="1:8">
      <c r="A35" t="s">
        <v>408</v>
      </c>
      <c r="B35" t="s">
        <v>418</v>
      </c>
      <c r="C35" s="35">
        <v>2.5</v>
      </c>
      <c r="D35" s="35" t="s">
        <v>1271</v>
      </c>
      <c r="E35"/>
      <c r="F35" s="16">
        <v>10.49</v>
      </c>
      <c r="G35" s="16">
        <v>8.44</v>
      </c>
      <c r="H35" s="16" cm="1">
        <f t="array" aca="1" ref="H35" ca="1">Table1[]*Table1[[#This Row],[Sale Price]]</f>
        <v>0</v>
      </c>
    </row>
    <row r="36" spans="1:8">
      <c r="A36" t="s">
        <v>410</v>
      </c>
      <c r="B36" t="s">
        <v>1039</v>
      </c>
      <c r="C36" s="35">
        <v>1.5</v>
      </c>
      <c r="D36" s="35" t="s">
        <v>1271</v>
      </c>
      <c r="E36"/>
      <c r="F36" s="16">
        <v>8.1999999999999993</v>
      </c>
      <c r="G36" s="16">
        <v>7.14</v>
      </c>
      <c r="H36" s="16" cm="1">
        <f t="array" aca="1" ref="H36" ca="1">Table1[]*Table1[[#This Row],[Sale Price]]</f>
        <v>0</v>
      </c>
    </row>
    <row r="37" spans="1:8">
      <c r="A37" t="s">
        <v>413</v>
      </c>
      <c r="B37" t="s">
        <v>421</v>
      </c>
      <c r="C37" s="35">
        <v>20</v>
      </c>
      <c r="D37" s="35" t="s">
        <v>1271</v>
      </c>
      <c r="E37"/>
      <c r="F37" s="16">
        <v>16.989999999999998</v>
      </c>
      <c r="G37" s="16">
        <v>19.23</v>
      </c>
      <c r="H37" s="16" cm="1">
        <f t="array" aca="1" ref="H37" ca="1">Table1[]*Table1[[#This Row],[Sale Price]]</f>
        <v>0</v>
      </c>
    </row>
    <row r="38" spans="1:8">
      <c r="A38" t="s">
        <v>415</v>
      </c>
      <c r="B38" t="s">
        <v>423</v>
      </c>
      <c r="C38" s="35">
        <v>4</v>
      </c>
      <c r="D38" s="35" t="s">
        <v>1271</v>
      </c>
      <c r="E38"/>
      <c r="F38" s="16">
        <v>4.49</v>
      </c>
      <c r="G38" s="16">
        <v>5.84</v>
      </c>
      <c r="H38" s="16" cm="1">
        <f t="array" aca="1" ref="H38" ca="1">Table1[]*Table1[[#This Row],[Sale Price]]</f>
        <v>0</v>
      </c>
    </row>
    <row r="39" spans="1:8">
      <c r="A39" t="s">
        <v>417</v>
      </c>
      <c r="B39" t="s">
        <v>423</v>
      </c>
      <c r="C39" s="35">
        <v>10</v>
      </c>
      <c r="D39" s="35" t="s">
        <v>1271</v>
      </c>
      <c r="E39"/>
      <c r="F39" s="16">
        <v>10.19</v>
      </c>
      <c r="G39" s="16">
        <v>12.34</v>
      </c>
      <c r="H39" s="16" cm="1">
        <f t="array" aca="1" ref="H39" ca="1">Table1[]*Table1[[#This Row],[Sale Price]]</f>
        <v>0</v>
      </c>
    </row>
    <row r="40" spans="1:8">
      <c r="A40" t="s">
        <v>419</v>
      </c>
      <c r="B40" t="s">
        <v>427</v>
      </c>
      <c r="C40" s="35">
        <v>4</v>
      </c>
      <c r="D40" s="35" t="s">
        <v>1271</v>
      </c>
      <c r="E40"/>
      <c r="F40" s="16">
        <v>3.99</v>
      </c>
      <c r="G40" s="16">
        <v>4.54</v>
      </c>
      <c r="H40" s="16" cm="1">
        <f t="array" aca="1" ref="H40" ca="1">Table1[]*Table1[[#This Row],[Sale Price]]</f>
        <v>0</v>
      </c>
    </row>
    <row r="41" spans="1:8">
      <c r="A41" t="s">
        <v>420</v>
      </c>
      <c r="B41" t="s">
        <v>427</v>
      </c>
      <c r="C41" s="35">
        <v>10</v>
      </c>
      <c r="D41" s="35" t="s">
        <v>1271</v>
      </c>
      <c r="E41"/>
      <c r="F41" s="16">
        <v>6.49</v>
      </c>
      <c r="G41" s="16">
        <v>8.44</v>
      </c>
      <c r="H41" s="16" cm="1">
        <f t="array" aca="1" ref="H41" ca="1">Table1[]*Table1[[#This Row],[Sale Price]]</f>
        <v>0</v>
      </c>
    </row>
    <row r="42" spans="1:8">
      <c r="A42" t="s">
        <v>422</v>
      </c>
      <c r="B42" t="s">
        <v>430</v>
      </c>
      <c r="C42" s="35">
        <v>2.5</v>
      </c>
      <c r="D42" s="35" t="s">
        <v>1271</v>
      </c>
      <c r="E42"/>
      <c r="F42" s="16">
        <v>13.92</v>
      </c>
      <c r="G42" s="16">
        <v>11.04</v>
      </c>
      <c r="H42" s="16" cm="1">
        <f t="array" aca="1" ref="H42" ca="1">Table1[]*Table1[[#This Row],[Sale Price]]</f>
        <v>0</v>
      </c>
    </row>
    <row r="43" spans="1:8">
      <c r="A43" t="s">
        <v>424</v>
      </c>
      <c r="B43" t="s">
        <v>558</v>
      </c>
      <c r="C43" s="35">
        <v>1</v>
      </c>
      <c r="D43" s="35" t="s">
        <v>1271</v>
      </c>
      <c r="E43"/>
      <c r="F43" s="16">
        <v>5.99</v>
      </c>
      <c r="G43" s="16">
        <v>6.75</v>
      </c>
      <c r="H43" s="16" cm="1">
        <f t="array" aca="1" ref="H43" ca="1">Table1[]*Table1[[#This Row],[Sale Price]]</f>
        <v>0</v>
      </c>
    </row>
    <row r="44" spans="1:8">
      <c r="A44" t="s">
        <v>425</v>
      </c>
      <c r="B44" t="s">
        <v>558</v>
      </c>
      <c r="C44" s="35">
        <v>4</v>
      </c>
      <c r="D44" s="35" t="s">
        <v>1271</v>
      </c>
      <c r="E44"/>
      <c r="F44" s="16">
        <v>13.99</v>
      </c>
      <c r="G44" s="16">
        <v>17.55</v>
      </c>
      <c r="H44" s="16" cm="1">
        <f t="array" aca="1" ref="H44" ca="1">Table1[]*Table1[[#This Row],[Sale Price]]</f>
        <v>0</v>
      </c>
    </row>
    <row r="45" spans="1:8">
      <c r="A45" t="s">
        <v>426</v>
      </c>
      <c r="B45" t="s">
        <v>559</v>
      </c>
      <c r="C45" s="35">
        <v>5</v>
      </c>
      <c r="D45" s="35" t="s">
        <v>1271</v>
      </c>
      <c r="E45"/>
      <c r="F45" s="16">
        <v>15.29</v>
      </c>
      <c r="G45" s="16">
        <v>18.850000000000001</v>
      </c>
      <c r="H45" s="16" cm="1">
        <f t="array" aca="1" ref="H45" ca="1">Table1[]*Table1[[#This Row],[Sale Price]]</f>
        <v>0</v>
      </c>
    </row>
    <row r="46" spans="1:8">
      <c r="A46" t="s">
        <v>428</v>
      </c>
      <c r="B46" t="s">
        <v>436</v>
      </c>
      <c r="C46" s="35">
        <v>5</v>
      </c>
      <c r="D46" s="35" t="s">
        <v>1271</v>
      </c>
      <c r="E46"/>
      <c r="F46" s="16">
        <v>15.74</v>
      </c>
      <c r="G46" s="16">
        <v>11.69</v>
      </c>
      <c r="H46" s="16" cm="1">
        <f t="array" aca="1" ref="H46" ca="1">Table1[]*Table1[[#This Row],[Sale Price]]</f>
        <v>0</v>
      </c>
    </row>
    <row r="47" spans="1:8">
      <c r="A47" t="s">
        <v>429</v>
      </c>
      <c r="B47" t="s">
        <v>438</v>
      </c>
      <c r="C47" s="35">
        <v>5</v>
      </c>
      <c r="D47" s="35" t="s">
        <v>1271</v>
      </c>
      <c r="E47"/>
      <c r="F47" s="16">
        <v>13.14</v>
      </c>
      <c r="G47" s="16">
        <v>11.69</v>
      </c>
      <c r="H47" s="16" cm="1">
        <f t="array" aca="1" ref="H47" ca="1">Table1[]*Table1[[#This Row],[Sale Price]]</f>
        <v>0</v>
      </c>
    </row>
    <row r="48" spans="1:8">
      <c r="A48" t="s">
        <v>431</v>
      </c>
      <c r="B48" t="s">
        <v>694</v>
      </c>
      <c r="C48" s="35">
        <v>15</v>
      </c>
      <c r="D48" s="35" t="s">
        <v>1271</v>
      </c>
      <c r="E48"/>
      <c r="F48" s="16">
        <v>13.95</v>
      </c>
      <c r="G48" s="16">
        <v>16.89</v>
      </c>
      <c r="H48" s="16" cm="1">
        <f t="array" aca="1" ref="H48" ca="1">Table1[]*Table1[[#This Row],[Sale Price]]</f>
        <v>0</v>
      </c>
    </row>
    <row r="49" spans="1:8">
      <c r="A49" t="s">
        <v>432</v>
      </c>
      <c r="B49" t="s">
        <v>440</v>
      </c>
      <c r="C49" s="35">
        <v>5</v>
      </c>
      <c r="D49" s="35" t="s">
        <v>1271</v>
      </c>
      <c r="E49"/>
      <c r="F49" s="16">
        <v>11.18</v>
      </c>
      <c r="G49" s="16">
        <v>15.59</v>
      </c>
      <c r="H49" s="16" cm="1">
        <f t="array" aca="1" ref="H49" ca="1">Table1[]*Table1[[#This Row],[Sale Price]]</f>
        <v>0</v>
      </c>
    </row>
    <row r="50" spans="1:8">
      <c r="A50" t="s">
        <v>433</v>
      </c>
      <c r="B50" t="s">
        <v>442</v>
      </c>
      <c r="C50" s="35">
        <v>1</v>
      </c>
      <c r="D50" s="35" t="s">
        <v>1274</v>
      </c>
      <c r="E50"/>
      <c r="F50" s="16">
        <v>4.05</v>
      </c>
      <c r="G50" s="16">
        <v>17.93</v>
      </c>
      <c r="H50" s="16" cm="1">
        <f t="array" aca="1" ref="H50" ca="1">Table1[]*Table1[[#This Row],[Sale Price]]</f>
        <v>0</v>
      </c>
    </row>
    <row r="51" spans="1:8">
      <c r="A51" t="s">
        <v>434</v>
      </c>
      <c r="B51" t="s">
        <v>1040</v>
      </c>
      <c r="C51" s="35">
        <v>4</v>
      </c>
      <c r="D51" s="35" t="s">
        <v>1271</v>
      </c>
      <c r="E51"/>
      <c r="F51" s="16">
        <v>6.99</v>
      </c>
      <c r="G51" s="16">
        <v>9.09</v>
      </c>
      <c r="H51" s="16" cm="1">
        <f t="array" aca="1" ref="H51" ca="1">Table1[]*Table1[[#This Row],[Sale Price]]</f>
        <v>0</v>
      </c>
    </row>
    <row r="52" spans="1:8">
      <c r="A52" t="s">
        <v>435</v>
      </c>
      <c r="B52" t="s">
        <v>482</v>
      </c>
      <c r="C52" s="35">
        <v>6</v>
      </c>
      <c r="D52" s="35" t="s">
        <v>1271</v>
      </c>
      <c r="E52"/>
      <c r="F52" s="16">
        <v>17.850000000000001</v>
      </c>
      <c r="G52" s="16">
        <v>19.489999999999998</v>
      </c>
      <c r="H52" s="16" cm="1">
        <f t="array" aca="1" ref="H52" ca="1">Table1[]*Table1[[#This Row],[Sale Price]]</f>
        <v>0</v>
      </c>
    </row>
    <row r="53" spans="1:8">
      <c r="A53" t="s">
        <v>437</v>
      </c>
      <c r="B53" t="s">
        <v>443</v>
      </c>
      <c r="C53" s="35">
        <v>7</v>
      </c>
      <c r="D53" s="35" t="s">
        <v>1274</v>
      </c>
      <c r="E53"/>
      <c r="F53" s="16">
        <v>17.57</v>
      </c>
      <c r="G53" s="16">
        <v>17.54</v>
      </c>
      <c r="H53" s="16" cm="1">
        <f t="array" aca="1" ref="H53" ca="1">Table1[]*Table1[[#This Row],[Sale Price]]</f>
        <v>0</v>
      </c>
    </row>
    <row r="54" spans="1:8">
      <c r="A54" t="s">
        <v>695</v>
      </c>
      <c r="B54" t="s">
        <v>444</v>
      </c>
      <c r="C54" s="35">
        <v>4</v>
      </c>
      <c r="D54" s="35" t="s">
        <v>1271</v>
      </c>
      <c r="E54"/>
      <c r="F54" s="16">
        <v>9.99</v>
      </c>
      <c r="G54" s="16">
        <v>12.99</v>
      </c>
      <c r="H54" s="16" cm="1">
        <f t="array" aca="1" ref="H54" ca="1">Table1[]*Table1[[#This Row],[Sale Price]]</f>
        <v>0</v>
      </c>
    </row>
    <row r="55" spans="1:8">
      <c r="A55" t="s">
        <v>696</v>
      </c>
      <c r="B55" t="s">
        <v>560</v>
      </c>
      <c r="C55" s="35">
        <v>1</v>
      </c>
      <c r="D55" s="35" t="s">
        <v>1271</v>
      </c>
      <c r="E55"/>
      <c r="F55" s="16">
        <v>7.49</v>
      </c>
      <c r="G55" s="16">
        <v>9.74</v>
      </c>
      <c r="H55" s="16" cm="1">
        <f t="array" aca="1" ref="H55" ca="1">Table1[]*Table1[[#This Row],[Sale Price]]</f>
        <v>0</v>
      </c>
    </row>
    <row r="56" spans="1:8">
      <c r="A56" t="s">
        <v>439</v>
      </c>
      <c r="B56" t="s">
        <v>561</v>
      </c>
      <c r="C56" s="35">
        <v>5</v>
      </c>
      <c r="D56" s="35" t="s">
        <v>1271</v>
      </c>
      <c r="E56"/>
      <c r="F56" s="16">
        <v>11.79</v>
      </c>
      <c r="G56" s="16">
        <v>13.64</v>
      </c>
      <c r="H56" s="16" cm="1">
        <f t="array" aca="1" ref="H56" ca="1">Table1[]*Table1[[#This Row],[Sale Price]]</f>
        <v>0</v>
      </c>
    </row>
    <row r="57" spans="1:8">
      <c r="A57" t="s">
        <v>441</v>
      </c>
      <c r="B57" t="s">
        <v>562</v>
      </c>
      <c r="C57" s="35">
        <v>4</v>
      </c>
      <c r="D57" s="35" t="s">
        <v>1271</v>
      </c>
      <c r="E57"/>
      <c r="F57" s="16">
        <v>11.49</v>
      </c>
      <c r="G57" s="16">
        <f>Table1[[#This Row],[Cost Price]]*1.25</f>
        <v>14.362500000000001</v>
      </c>
      <c r="H57" s="16" cm="1">
        <f t="array" aca="1" ref="H57" ca="1">Table1[]*Table1[[#This Row],[Sale Price]]</f>
        <v>0</v>
      </c>
    </row>
    <row r="58" spans="1:8">
      <c r="A58" t="s">
        <v>1264</v>
      </c>
      <c r="B58" t="s">
        <v>1261</v>
      </c>
      <c r="C58" s="35">
        <v>1.5</v>
      </c>
      <c r="D58" s="35" t="s">
        <v>1271</v>
      </c>
      <c r="E58"/>
      <c r="F58" s="16">
        <v>10.85</v>
      </c>
      <c r="G58" s="16">
        <f>Table1[[#This Row],[Cost Price]]*1.25</f>
        <v>13.5625</v>
      </c>
      <c r="H58" s="16" cm="1">
        <f t="array" aca="1" ref="H58" ca="1">Table1[]*Table1[[#This Row],[Sale Price]]</f>
        <v>0</v>
      </c>
    </row>
    <row r="59" spans="1:8">
      <c r="A59" t="s">
        <v>1265</v>
      </c>
      <c r="B59" t="s">
        <v>1262</v>
      </c>
      <c r="C59" s="35">
        <v>0.125</v>
      </c>
      <c r="D59" s="35" t="s">
        <v>1271</v>
      </c>
      <c r="E59"/>
      <c r="F59" s="16">
        <v>1.98</v>
      </c>
      <c r="G59" s="16">
        <f>Table1[[#This Row],[Cost Price]]*1.25</f>
        <v>2.4750000000000001</v>
      </c>
      <c r="H59" s="16" cm="1">
        <f t="array" aca="1" ref="H59" ca="1">Table1[]*Table1[[#This Row],[Sale Price]]</f>
        <v>0</v>
      </c>
    </row>
    <row r="60" spans="1:8">
      <c r="A60" t="s">
        <v>1266</v>
      </c>
      <c r="B60" t="s">
        <v>1268</v>
      </c>
      <c r="C60" s="35">
        <v>0.5</v>
      </c>
      <c r="D60" s="35" t="s">
        <v>1271</v>
      </c>
      <c r="E60"/>
      <c r="F60" s="16">
        <v>7.02</v>
      </c>
      <c r="G60" s="16">
        <f>Table1[[#This Row],[Cost Price]]*1.25</f>
        <v>8.7749999999999986</v>
      </c>
      <c r="H60" s="16" cm="1">
        <f t="array" aca="1" ref="H60" ca="1">Table1[]*Table1[[#This Row],[Sale Price]]</f>
        <v>0</v>
      </c>
    </row>
    <row r="61" spans="1:8">
      <c r="A61" s="29"/>
      <c r="B61" s="29" t="s">
        <v>613</v>
      </c>
      <c r="C61" s="36"/>
      <c r="D61" s="36"/>
      <c r="E61" s="29"/>
      <c r="F61" s="30"/>
      <c r="G61" s="30"/>
      <c r="H61" s="30"/>
    </row>
    <row r="62" spans="1:8">
      <c r="A62" t="s">
        <v>627</v>
      </c>
      <c r="B62" t="s">
        <v>625</v>
      </c>
      <c r="C62" s="35">
        <v>1</v>
      </c>
      <c r="D62" s="35" t="s">
        <v>1271</v>
      </c>
      <c r="E62"/>
      <c r="F62" s="16">
        <v>1.49</v>
      </c>
      <c r="G62" s="16">
        <f>Table1[[#This Row],[Cost Price]]*1.25</f>
        <v>1.8625</v>
      </c>
      <c r="H62" s="16" cm="1">
        <f t="array" aca="1" ref="H62" ca="1">Table1[]*Table1[[#This Row],[Sale Price]]</f>
        <v>0</v>
      </c>
    </row>
    <row r="63" spans="1:8">
      <c r="A63" t="s">
        <v>628</v>
      </c>
      <c r="B63" t="s">
        <v>626</v>
      </c>
      <c r="C63" s="35">
        <v>1</v>
      </c>
      <c r="D63" s="35" t="s">
        <v>1271</v>
      </c>
      <c r="E63"/>
      <c r="F63" s="16">
        <v>1.65</v>
      </c>
      <c r="G63" s="16">
        <f>Table1[[#This Row],[Cost Price]]*1.25</f>
        <v>2.0625</v>
      </c>
      <c r="H63" s="16" cm="1">
        <f t="array" aca="1" ref="H63" ca="1">Table1[]*Table1[[#This Row],[Sale Price]]</f>
        <v>0</v>
      </c>
    </row>
    <row r="64" spans="1:8">
      <c r="A64" t="s">
        <v>614</v>
      </c>
      <c r="B64" t="s">
        <v>501</v>
      </c>
      <c r="C64" s="35">
        <v>0.4</v>
      </c>
      <c r="D64" s="35" t="s">
        <v>1271</v>
      </c>
      <c r="E64"/>
      <c r="F64" s="16">
        <v>4.42</v>
      </c>
      <c r="G64" s="16">
        <f>Table1[[#This Row],[Cost Price]]*1.25</f>
        <v>5.5250000000000004</v>
      </c>
      <c r="H64" s="16" cm="1">
        <f t="array" aca="1" ref="H64" ca="1">Table1[]*Table1[[#This Row],[Sale Price]]</f>
        <v>0</v>
      </c>
    </row>
    <row r="65" spans="1:8">
      <c r="A65" t="s">
        <v>615</v>
      </c>
      <c r="B65" t="s">
        <v>629</v>
      </c>
      <c r="C65" s="35">
        <v>1.5</v>
      </c>
      <c r="D65" s="35" t="s">
        <v>1271</v>
      </c>
      <c r="E65"/>
      <c r="F65" s="16">
        <v>2.4700000000000002</v>
      </c>
      <c r="G65" s="16">
        <f>Table1[[#This Row],[Cost Price]]*1.25</f>
        <v>3.0875000000000004</v>
      </c>
      <c r="H65" s="16" cm="1">
        <f t="array" aca="1" ref="H65" ca="1">Table1[]*Table1[[#This Row],[Sale Price]]</f>
        <v>0</v>
      </c>
    </row>
    <row r="66" spans="1:8">
      <c r="A66" t="s">
        <v>616</v>
      </c>
      <c r="B66" t="s">
        <v>630</v>
      </c>
      <c r="C66" s="35">
        <v>0.3</v>
      </c>
      <c r="D66" s="35" t="s">
        <v>1271</v>
      </c>
      <c r="E66"/>
      <c r="F66" s="16">
        <v>5.69</v>
      </c>
      <c r="G66" s="16">
        <f>Table1[[#This Row],[Cost Price]]*1.25</f>
        <v>7.1125000000000007</v>
      </c>
      <c r="H66" s="16" cm="1">
        <f t="array" aca="1" ref="H66" ca="1">Table1[]*Table1[[#This Row],[Sale Price]]</f>
        <v>0</v>
      </c>
    </row>
    <row r="67" spans="1:8">
      <c r="A67" t="s">
        <v>617</v>
      </c>
      <c r="B67" t="s">
        <v>496</v>
      </c>
      <c r="C67" s="35">
        <v>0.22500000000000001</v>
      </c>
      <c r="D67" s="35" t="s">
        <v>1271</v>
      </c>
      <c r="E67"/>
      <c r="F67" s="16">
        <v>5.08</v>
      </c>
      <c r="G67" s="16">
        <f>Table1[[#This Row],[Cost Price]]*1.25</f>
        <v>6.35</v>
      </c>
      <c r="H67" s="16" cm="1">
        <f t="array" aca="1" ref="H67" ca="1">Table1[]*Table1[[#This Row],[Sale Price]]</f>
        <v>0</v>
      </c>
    </row>
    <row r="68" spans="1:8">
      <c r="A68" t="s">
        <v>618</v>
      </c>
      <c r="B68" t="s">
        <v>1042</v>
      </c>
      <c r="C68" s="35" t="s">
        <v>1154</v>
      </c>
      <c r="D68" s="35" t="s">
        <v>1271</v>
      </c>
      <c r="E68"/>
      <c r="F68" s="16">
        <v>4.5</v>
      </c>
      <c r="G68" s="16">
        <f>Table1[[#This Row],[Cost Price]]*1.25</f>
        <v>5.625</v>
      </c>
      <c r="H68" s="16" cm="1">
        <f t="array" aca="1" ref="H68" ca="1">Table1[]*Table1[[#This Row],[Sale Price]]</f>
        <v>0</v>
      </c>
    </row>
    <row r="69" spans="1:8">
      <c r="A69" t="s">
        <v>619</v>
      </c>
      <c r="B69" t="s">
        <v>1041</v>
      </c>
      <c r="C69" s="35">
        <v>1</v>
      </c>
      <c r="D69" s="35" t="s">
        <v>1271</v>
      </c>
      <c r="E69"/>
      <c r="F69" s="16">
        <v>4.96</v>
      </c>
      <c r="G69" s="16">
        <f>Table1[[#This Row],[Cost Price]]*1.25</f>
        <v>6.2</v>
      </c>
      <c r="H69" s="16" cm="1">
        <f t="array" aca="1" ref="H69" ca="1">Table1[]*Table1[[#This Row],[Sale Price]]</f>
        <v>0</v>
      </c>
    </row>
    <row r="70" spans="1:8">
      <c r="A70" t="s">
        <v>620</v>
      </c>
      <c r="B70" t="s">
        <v>631</v>
      </c>
      <c r="C70" s="35">
        <v>1</v>
      </c>
      <c r="D70" s="35" t="s">
        <v>1271</v>
      </c>
      <c r="E70"/>
      <c r="F70" s="16">
        <v>5.0999999999999996</v>
      </c>
      <c r="G70" s="16">
        <f>Table1[[#This Row],[Cost Price]]*1.25</f>
        <v>6.375</v>
      </c>
      <c r="H70" s="16" cm="1">
        <f t="array" aca="1" ref="H70" ca="1">Table1[]*Table1[[#This Row],[Sale Price]]</f>
        <v>0</v>
      </c>
    </row>
    <row r="71" spans="1:8">
      <c r="A71" t="s">
        <v>621</v>
      </c>
      <c r="B71" t="s">
        <v>632</v>
      </c>
      <c r="C71" s="35">
        <v>1</v>
      </c>
      <c r="D71" s="35" t="s">
        <v>1271</v>
      </c>
      <c r="E71"/>
      <c r="F71" s="16">
        <v>2.27</v>
      </c>
      <c r="G71" s="16">
        <f>Table1[[#This Row],[Cost Price]]*1.25</f>
        <v>2.8374999999999999</v>
      </c>
      <c r="H71" s="16" cm="1">
        <f t="array" aca="1" ref="H71" ca="1">Table1[]*Table1[[#This Row],[Sale Price]]</f>
        <v>0</v>
      </c>
    </row>
    <row r="72" spans="1:8">
      <c r="A72" t="s">
        <v>622</v>
      </c>
      <c r="B72" t="s">
        <v>633</v>
      </c>
      <c r="C72" s="35">
        <v>1</v>
      </c>
      <c r="D72" s="35" t="s">
        <v>1271</v>
      </c>
      <c r="E72"/>
      <c r="F72" s="16">
        <v>1.35</v>
      </c>
      <c r="G72" s="16">
        <f>Table1[[#This Row],[Cost Price]]*1.25</f>
        <v>1.6875</v>
      </c>
      <c r="H72" s="16" cm="1">
        <f t="array" aca="1" ref="H72" ca="1">Table1[]*Table1[[#This Row],[Sale Price]]</f>
        <v>0</v>
      </c>
    </row>
    <row r="73" spans="1:8">
      <c r="A73" t="s">
        <v>623</v>
      </c>
      <c r="B73" t="s">
        <v>634</v>
      </c>
      <c r="C73" s="35">
        <v>2</v>
      </c>
      <c r="D73" s="35" t="s">
        <v>1274</v>
      </c>
      <c r="E73"/>
      <c r="F73" s="16">
        <v>3.56</v>
      </c>
      <c r="G73" s="16">
        <f>Table1[[#This Row],[Cost Price]]*1.25</f>
        <v>4.45</v>
      </c>
      <c r="H73" s="16" cm="1">
        <f t="array" aca="1" ref="H73" ca="1">Table1[]*Table1[[#This Row],[Sale Price]]</f>
        <v>0</v>
      </c>
    </row>
    <row r="74" spans="1:8">
      <c r="A74" t="s">
        <v>624</v>
      </c>
      <c r="B74" t="s">
        <v>636</v>
      </c>
      <c r="C74" s="35">
        <v>1</v>
      </c>
      <c r="D74" s="35" t="s">
        <v>1274</v>
      </c>
      <c r="E74"/>
      <c r="F74" s="16">
        <v>2.74</v>
      </c>
      <c r="G74" s="16">
        <f>Table1[[#This Row],[Cost Price]]*1.25</f>
        <v>3.4250000000000003</v>
      </c>
      <c r="H74" s="16" cm="1">
        <f t="array" aca="1" ref="H74" ca="1">Table1[]*Table1[[#This Row],[Sale Price]]</f>
        <v>0</v>
      </c>
    </row>
    <row r="75" spans="1:8">
      <c r="A75" t="s">
        <v>638</v>
      </c>
      <c r="B75" t="s">
        <v>645</v>
      </c>
      <c r="C75" s="35">
        <v>1</v>
      </c>
      <c r="D75" s="35" t="s">
        <v>1274</v>
      </c>
      <c r="E75"/>
      <c r="F75" s="16">
        <v>7.14</v>
      </c>
      <c r="G75" s="16">
        <f>Table1[[#This Row],[Cost Price]]*1.25</f>
        <v>8.9249999999999989</v>
      </c>
      <c r="H75" s="16" cm="1">
        <f t="array" aca="1" ref="H75" ca="1">Table1[]*Table1[[#This Row],[Sale Price]]</f>
        <v>0</v>
      </c>
    </row>
    <row r="76" spans="1:8">
      <c r="A76" t="s">
        <v>639</v>
      </c>
      <c r="B76" t="s">
        <v>646</v>
      </c>
      <c r="C76" s="35">
        <v>1</v>
      </c>
      <c r="D76" s="35" t="s">
        <v>1274</v>
      </c>
      <c r="E76"/>
      <c r="F76" s="16">
        <v>1</v>
      </c>
      <c r="G76" s="16">
        <f>Table1[[#This Row],[Cost Price]]*1.25</f>
        <v>1.25</v>
      </c>
      <c r="H76" s="16" cm="1">
        <f t="array" aca="1" ref="H76" ca="1">Table1[]*Table1[[#This Row],[Sale Price]]</f>
        <v>0</v>
      </c>
    </row>
    <row r="77" spans="1:8">
      <c r="A77" t="s">
        <v>640</v>
      </c>
      <c r="B77" t="s">
        <v>647</v>
      </c>
      <c r="C77" s="35">
        <v>1</v>
      </c>
      <c r="D77" s="35" t="s">
        <v>1271</v>
      </c>
      <c r="E77"/>
      <c r="F77" s="16">
        <v>5.81</v>
      </c>
      <c r="G77" s="16">
        <f>Table1[[#This Row],[Cost Price]]*1.25</f>
        <v>7.2624999999999993</v>
      </c>
      <c r="H77" s="16" cm="1">
        <f t="array" aca="1" ref="H77" ca="1">Table1[]*Table1[[#This Row],[Sale Price]]</f>
        <v>0</v>
      </c>
    </row>
    <row r="78" spans="1:8">
      <c r="A78" t="s">
        <v>641</v>
      </c>
      <c r="B78" t="s">
        <v>648</v>
      </c>
      <c r="C78" s="35">
        <v>1</v>
      </c>
      <c r="D78" s="35" t="s">
        <v>1274</v>
      </c>
      <c r="E78"/>
      <c r="F78" s="16">
        <v>3.31</v>
      </c>
      <c r="G78" s="16">
        <f>Table1[[#This Row],[Cost Price]]*1.25</f>
        <v>4.1375000000000002</v>
      </c>
      <c r="H78" s="16" cm="1">
        <f t="array" aca="1" ref="H78" ca="1">Table1[]*Table1[[#This Row],[Sale Price]]</f>
        <v>0</v>
      </c>
    </row>
    <row r="79" spans="1:8">
      <c r="A79" t="s">
        <v>642</v>
      </c>
      <c r="B79" t="s">
        <v>649</v>
      </c>
      <c r="C79" s="35">
        <v>1</v>
      </c>
      <c r="D79" s="35" t="s">
        <v>1274</v>
      </c>
      <c r="E79"/>
      <c r="F79" s="16">
        <v>3.56</v>
      </c>
      <c r="G79" s="16">
        <f>Table1[[#This Row],[Cost Price]]*1.25</f>
        <v>4.45</v>
      </c>
      <c r="H79" s="16" cm="1">
        <f t="array" aca="1" ref="H79" ca="1">Table1[]*Table1[[#This Row],[Sale Price]]</f>
        <v>0</v>
      </c>
    </row>
    <row r="80" spans="1:8">
      <c r="A80" t="s">
        <v>643</v>
      </c>
      <c r="B80" t="s">
        <v>650</v>
      </c>
      <c r="C80" s="35">
        <v>8</v>
      </c>
      <c r="D80" s="35" t="s">
        <v>1274</v>
      </c>
      <c r="E80"/>
      <c r="F80" s="16">
        <v>2.5499999999999998</v>
      </c>
      <c r="G80" s="16">
        <f>Table1[[#This Row],[Cost Price]]*1.25</f>
        <v>3.1875</v>
      </c>
      <c r="H80" s="16" cm="1">
        <f t="array" aca="1" ref="H80" ca="1">Table1[]*Table1[[#This Row],[Sale Price]]</f>
        <v>0</v>
      </c>
    </row>
    <row r="81" spans="1:8">
      <c r="A81" t="s">
        <v>644</v>
      </c>
      <c r="B81" t="s">
        <v>651</v>
      </c>
      <c r="C81" s="35">
        <v>10</v>
      </c>
      <c r="D81" s="35" t="s">
        <v>1274</v>
      </c>
      <c r="E81"/>
      <c r="F81" s="16">
        <v>12.99</v>
      </c>
      <c r="G81" s="16">
        <f>Table1[[#This Row],[Cost Price]]*1.25</f>
        <v>16.237500000000001</v>
      </c>
      <c r="H81" s="16" cm="1">
        <f t="array" aca="1" ref="H81" ca="1">Table1[]*Table1[[#This Row],[Sale Price]]</f>
        <v>0</v>
      </c>
    </row>
    <row r="82" spans="1:8">
      <c r="A82" t="s">
        <v>652</v>
      </c>
      <c r="B82" t="s">
        <v>653</v>
      </c>
      <c r="C82" s="35">
        <v>1</v>
      </c>
      <c r="D82" s="35" t="s">
        <v>1271</v>
      </c>
      <c r="E82"/>
      <c r="F82" s="16">
        <v>5.99</v>
      </c>
      <c r="G82" s="16">
        <f>Table1[[#This Row],[Cost Price]]*1.25</f>
        <v>7.4875000000000007</v>
      </c>
      <c r="H82" s="16" cm="1">
        <f t="array" aca="1" ref="H82" ca="1">Table1[]*Table1[[#This Row],[Sale Price]]</f>
        <v>0</v>
      </c>
    </row>
    <row r="83" spans="1:8">
      <c r="A83" s="29"/>
      <c r="B83" s="29" t="s">
        <v>596</v>
      </c>
      <c r="C83" s="36"/>
      <c r="D83" s="36"/>
      <c r="E83" s="29"/>
      <c r="F83" s="30"/>
      <c r="G83" s="30"/>
      <c r="H83" s="30"/>
    </row>
    <row r="84" spans="1:8">
      <c r="A84" t="s">
        <v>502</v>
      </c>
      <c r="B84" t="s">
        <v>1155</v>
      </c>
      <c r="C84" s="35" t="s">
        <v>503</v>
      </c>
      <c r="D84" s="35"/>
      <c r="E84"/>
      <c r="F84" s="16">
        <v>10.99</v>
      </c>
      <c r="G84" s="16">
        <f>Table1[[#This Row],[Cost Price]]*1.25</f>
        <v>13.737500000000001</v>
      </c>
      <c r="H84" s="16" cm="1">
        <f t="array" aca="1" ref="H84" ca="1">Table1[]*Table1[[#This Row],[Sale Price]]</f>
        <v>0</v>
      </c>
    </row>
    <row r="85" spans="1:8">
      <c r="A85" t="s">
        <v>504</v>
      </c>
      <c r="B85" t="s">
        <v>1155</v>
      </c>
      <c r="C85" s="35" t="s">
        <v>503</v>
      </c>
      <c r="D85" s="35"/>
      <c r="E85"/>
      <c r="F85" s="16">
        <v>8.99</v>
      </c>
      <c r="G85" s="16">
        <f>Table1[[#This Row],[Cost Price]]*1.25</f>
        <v>11.237500000000001</v>
      </c>
      <c r="H85" s="16" cm="1">
        <f t="array" aca="1" ref="H85" ca="1">Table1[]*Table1[[#This Row],[Sale Price]]</f>
        <v>0</v>
      </c>
    </row>
    <row r="86" spans="1:8">
      <c r="A86" t="s">
        <v>505</v>
      </c>
      <c r="B86" t="s">
        <v>1156</v>
      </c>
      <c r="C86" s="35" t="s">
        <v>176</v>
      </c>
      <c r="D86" s="35"/>
      <c r="E86"/>
      <c r="F86" s="16">
        <v>8.99</v>
      </c>
      <c r="G86" s="16">
        <f>Table1[[#This Row],[Cost Price]]*1.25</f>
        <v>11.237500000000001</v>
      </c>
      <c r="H86" s="16" cm="1">
        <f t="array" aca="1" ref="H86" ca="1">Table1[]*Table1[[#This Row],[Sale Price]]</f>
        <v>0</v>
      </c>
    </row>
    <row r="87" spans="1:8">
      <c r="A87" t="s">
        <v>506</v>
      </c>
      <c r="B87" t="s">
        <v>507</v>
      </c>
      <c r="C87" s="35" t="s">
        <v>176</v>
      </c>
      <c r="D87" s="35"/>
      <c r="E87"/>
      <c r="F87" s="16">
        <v>8.49</v>
      </c>
      <c r="G87" s="16">
        <f>Table1[[#This Row],[Cost Price]]*1.25</f>
        <v>10.612500000000001</v>
      </c>
      <c r="H87" s="16" cm="1">
        <f t="array" aca="1" ref="H87" ca="1">Table1[]*Table1[[#This Row],[Sale Price]]</f>
        <v>0</v>
      </c>
    </row>
    <row r="88" spans="1:8">
      <c r="A88" t="s">
        <v>508</v>
      </c>
      <c r="B88" t="s">
        <v>509</v>
      </c>
      <c r="C88" s="35" t="s">
        <v>209</v>
      </c>
      <c r="D88" s="35"/>
      <c r="E88"/>
      <c r="F88" s="16">
        <v>12.99</v>
      </c>
      <c r="G88" s="16">
        <f>Table1[[#This Row],[Cost Price]]*1.25</f>
        <v>16.237500000000001</v>
      </c>
      <c r="H88" s="16" cm="1">
        <f t="array" aca="1" ref="H88" ca="1">Table1[]*Table1[[#This Row],[Sale Price]]</f>
        <v>0</v>
      </c>
    </row>
    <row r="89" spans="1:8">
      <c r="A89" t="s">
        <v>510</v>
      </c>
      <c r="B89" t="s">
        <v>511</v>
      </c>
      <c r="C89" s="35" t="s">
        <v>209</v>
      </c>
      <c r="D89" s="35"/>
      <c r="E89"/>
      <c r="F89" s="16">
        <v>15.79</v>
      </c>
      <c r="G89" s="16">
        <f>Table1[[#This Row],[Cost Price]]*1.25</f>
        <v>19.737499999999997</v>
      </c>
      <c r="H89" s="16" cm="1">
        <f t="array" aca="1" ref="H89" ca="1">Table1[]*Table1[[#This Row],[Sale Price]]</f>
        <v>0</v>
      </c>
    </row>
    <row r="90" spans="1:8">
      <c r="A90" t="s">
        <v>512</v>
      </c>
      <c r="B90" t="s">
        <v>513</v>
      </c>
      <c r="C90" s="35" t="s">
        <v>209</v>
      </c>
      <c r="D90" s="35"/>
      <c r="E90"/>
      <c r="F90" s="16">
        <v>14.99</v>
      </c>
      <c r="G90" s="16">
        <f>Table1[[#This Row],[Cost Price]]*1.25</f>
        <v>18.737500000000001</v>
      </c>
      <c r="H90" s="16" cm="1">
        <f t="array" aca="1" ref="H90" ca="1">Table1[]*Table1[[#This Row],[Sale Price]]</f>
        <v>0</v>
      </c>
    </row>
    <row r="91" spans="1:8">
      <c r="A91" t="s">
        <v>514</v>
      </c>
      <c r="B91" t="s">
        <v>1043</v>
      </c>
      <c r="C91" s="35" t="s">
        <v>210</v>
      </c>
      <c r="D91" s="35"/>
      <c r="E91"/>
      <c r="F91" s="16">
        <v>16.489999999999998</v>
      </c>
      <c r="G91" s="16">
        <f>Table1[[#This Row],[Cost Price]]*1.25</f>
        <v>20.612499999999997</v>
      </c>
      <c r="H91" s="16" cm="1">
        <f t="array" aca="1" ref="H91" ca="1">Table1[]*Table1[[#This Row],[Sale Price]]</f>
        <v>0</v>
      </c>
    </row>
    <row r="92" spans="1:8">
      <c r="A92" t="s">
        <v>515</v>
      </c>
      <c r="B92" t="s">
        <v>1044</v>
      </c>
      <c r="C92" s="35" t="s">
        <v>294</v>
      </c>
      <c r="D92" s="35"/>
      <c r="E92"/>
      <c r="F92" s="16">
        <v>30.99</v>
      </c>
      <c r="G92" s="16">
        <f>Table1[[#This Row],[Cost Price]]*1.25</f>
        <v>38.737499999999997</v>
      </c>
      <c r="H92" s="16" cm="1">
        <f t="array" aca="1" ref="H92" ca="1">Table1[]*Table1[[#This Row],[Sale Price]]</f>
        <v>0</v>
      </c>
    </row>
    <row r="93" spans="1:8">
      <c r="A93" t="s">
        <v>516</v>
      </c>
      <c r="B93" t="s">
        <v>517</v>
      </c>
      <c r="C93" s="35" t="s">
        <v>234</v>
      </c>
      <c r="D93" s="35"/>
      <c r="E93"/>
      <c r="F93" s="16">
        <v>9.49</v>
      </c>
      <c r="G93" s="16">
        <f>Table1[[#This Row],[Cost Price]]*1.25</f>
        <v>11.862500000000001</v>
      </c>
      <c r="H93" s="16" cm="1">
        <f t="array" aca="1" ref="H93" ca="1">Table1[]*Table1[[#This Row],[Sale Price]]</f>
        <v>0</v>
      </c>
    </row>
    <row r="94" spans="1:8">
      <c r="A94" t="s">
        <v>518</v>
      </c>
      <c r="B94" t="s">
        <v>519</v>
      </c>
      <c r="C94" s="35" t="s">
        <v>343</v>
      </c>
      <c r="D94" s="35"/>
      <c r="E94"/>
      <c r="F94" s="16">
        <v>49.49</v>
      </c>
      <c r="G94" s="16">
        <f>Table1[[#This Row],[Cost Price]]*1.25</f>
        <v>61.862500000000004</v>
      </c>
      <c r="H94" s="16" cm="1">
        <f t="array" aca="1" ref="H94" ca="1">Table1[]*Table1[[#This Row],[Sale Price]]</f>
        <v>0</v>
      </c>
    </row>
    <row r="95" spans="1:8">
      <c r="A95" t="s">
        <v>520</v>
      </c>
      <c r="B95" t="s">
        <v>521</v>
      </c>
      <c r="C95" s="35" t="s">
        <v>176</v>
      </c>
      <c r="D95" s="35"/>
      <c r="E95"/>
      <c r="F95" s="16">
        <v>16.489999999999998</v>
      </c>
      <c r="G95" s="16">
        <f>Table1[[#This Row],[Cost Price]]*1.25</f>
        <v>20.612499999999997</v>
      </c>
      <c r="H95" s="16" cm="1">
        <f t="array" aca="1" ref="H95" ca="1">Table1[]*Table1[[#This Row],[Sale Price]]</f>
        <v>0</v>
      </c>
    </row>
    <row r="96" spans="1:8">
      <c r="A96" t="s">
        <v>522</v>
      </c>
      <c r="B96" t="s">
        <v>523</v>
      </c>
      <c r="C96" s="35" t="s">
        <v>227</v>
      </c>
      <c r="D96" s="35"/>
      <c r="E96"/>
      <c r="F96" s="16">
        <v>10.99</v>
      </c>
      <c r="G96" s="16">
        <f>Table1[[#This Row],[Cost Price]]*1.25</f>
        <v>13.737500000000001</v>
      </c>
      <c r="H96" s="16" cm="1">
        <f t="array" aca="1" ref="H96" ca="1">Table1[]*Table1[[#This Row],[Sale Price]]</f>
        <v>0</v>
      </c>
    </row>
    <row r="97" spans="1:8">
      <c r="A97" t="s">
        <v>524</v>
      </c>
      <c r="B97" t="s">
        <v>1045</v>
      </c>
      <c r="C97" s="35" t="s">
        <v>526</v>
      </c>
      <c r="D97" s="35"/>
      <c r="E97" t="s">
        <v>525</v>
      </c>
      <c r="F97" s="16">
        <v>10.99</v>
      </c>
      <c r="G97" s="16">
        <f>Table1[[#This Row],[Cost Price]]*1.25</f>
        <v>13.737500000000001</v>
      </c>
      <c r="H97" s="16" cm="1">
        <f t="array" aca="1" ref="H97" ca="1">Table1[]*Table1[[#This Row],[Sale Price]]</f>
        <v>0</v>
      </c>
    </row>
    <row r="98" spans="1:8">
      <c r="A98" t="s">
        <v>527</v>
      </c>
      <c r="B98" t="s">
        <v>1157</v>
      </c>
      <c r="C98" s="35" t="s">
        <v>1158</v>
      </c>
      <c r="D98" s="35"/>
      <c r="E98"/>
      <c r="F98" s="16">
        <v>57.29</v>
      </c>
      <c r="G98" s="16">
        <f>Table1[[#This Row],[Cost Price]]*1.25</f>
        <v>71.612499999999997</v>
      </c>
      <c r="H98" s="16" cm="1">
        <f t="array" aca="1" ref="H98" ca="1">Table1[]*Table1[[#This Row],[Sale Price]]</f>
        <v>0</v>
      </c>
    </row>
    <row r="99" spans="1:8">
      <c r="A99" t="s">
        <v>528</v>
      </c>
      <c r="B99" t="s">
        <v>529</v>
      </c>
      <c r="C99" s="35" t="s">
        <v>526</v>
      </c>
      <c r="D99" s="35"/>
      <c r="E99"/>
      <c r="F99" s="16">
        <v>10.99</v>
      </c>
      <c r="G99" s="16">
        <f>Table1[[#This Row],[Cost Price]]*1.25</f>
        <v>13.737500000000001</v>
      </c>
      <c r="H99" s="16" cm="1">
        <f t="array" aca="1" ref="H99" ca="1">Table1[]*Table1[[#This Row],[Sale Price]]</f>
        <v>0</v>
      </c>
    </row>
    <row r="100" spans="1:8">
      <c r="A100" t="s">
        <v>530</v>
      </c>
      <c r="B100" t="s">
        <v>531</v>
      </c>
      <c r="C100" s="35" t="s">
        <v>1159</v>
      </c>
      <c r="D100" s="35"/>
      <c r="E100" t="s">
        <v>532</v>
      </c>
      <c r="F100" s="16">
        <v>40.99</v>
      </c>
      <c r="G100" s="16">
        <f>Table1[[#This Row],[Cost Price]]*1.25</f>
        <v>51.237500000000004</v>
      </c>
      <c r="H100" s="16" cm="1">
        <f t="array" aca="1" ref="H100" ca="1">Table1[]*Table1[[#This Row],[Sale Price]]</f>
        <v>0</v>
      </c>
    </row>
    <row r="101" spans="1:8">
      <c r="A101" t="s">
        <v>533</v>
      </c>
      <c r="B101" t="s">
        <v>1160</v>
      </c>
      <c r="C101" s="35" t="s">
        <v>176</v>
      </c>
      <c r="D101" s="35"/>
      <c r="E101"/>
      <c r="F101" s="16">
        <v>11.99</v>
      </c>
      <c r="G101" s="16">
        <f>Table1[[#This Row],[Cost Price]]*1.25</f>
        <v>14.987500000000001</v>
      </c>
      <c r="H101" s="16" cm="1">
        <f t="array" aca="1" ref="H101" ca="1">Table1[]*Table1[[#This Row],[Sale Price]]</f>
        <v>0</v>
      </c>
    </row>
    <row r="102" spans="1:8">
      <c r="A102" s="29"/>
      <c r="B102" s="29" t="s">
        <v>552</v>
      </c>
      <c r="C102" s="36"/>
      <c r="D102" s="36"/>
      <c r="E102" s="29"/>
      <c r="F102" s="30"/>
      <c r="G102" s="30"/>
      <c r="H102" s="30"/>
    </row>
    <row r="103" spans="1:8">
      <c r="A103" t="s">
        <v>534</v>
      </c>
      <c r="B103" t="s">
        <v>1038</v>
      </c>
      <c r="C103" s="35" t="s">
        <v>535</v>
      </c>
      <c r="D103" s="35"/>
      <c r="E103"/>
      <c r="F103" s="16">
        <v>1.49</v>
      </c>
      <c r="G103" s="16">
        <f>Table1[[#This Row],[Cost Price]]*1.25</f>
        <v>1.8625</v>
      </c>
      <c r="H103" s="16" cm="1">
        <f t="array" aca="1" ref="H103" ca="1">Table1[]*Table1[[#This Row],[Sale Price]]</f>
        <v>0</v>
      </c>
    </row>
    <row r="104" spans="1:8">
      <c r="A104" t="s">
        <v>536</v>
      </c>
      <c r="B104" t="s">
        <v>563</v>
      </c>
      <c r="C104" s="35" t="s">
        <v>535</v>
      </c>
      <c r="D104" s="35"/>
      <c r="E104"/>
      <c r="F104" s="16">
        <v>1.49</v>
      </c>
      <c r="G104" s="16">
        <f>Table1[[#This Row],[Cost Price]]*1.25</f>
        <v>1.8625</v>
      </c>
      <c r="H104" s="16" cm="1">
        <f t="array" aca="1" ref="H104" ca="1">Table1[]*Table1[[#This Row],[Sale Price]]</f>
        <v>0</v>
      </c>
    </row>
    <row r="105" spans="1:8">
      <c r="A105" t="s">
        <v>537</v>
      </c>
      <c r="B105" t="s">
        <v>564</v>
      </c>
      <c r="C105" s="35" t="s">
        <v>535</v>
      </c>
      <c r="D105" s="35"/>
      <c r="E105"/>
      <c r="F105" s="16">
        <v>1.49</v>
      </c>
      <c r="G105" s="16">
        <f>Table1[[#This Row],[Cost Price]]*1.25</f>
        <v>1.8625</v>
      </c>
      <c r="H105" s="16" cm="1">
        <f t="array" aca="1" ref="H105" ca="1">Table1[]*Table1[[#This Row],[Sale Price]]</f>
        <v>0</v>
      </c>
    </row>
    <row r="106" spans="1:8">
      <c r="A106" t="s">
        <v>538</v>
      </c>
      <c r="B106" t="s">
        <v>539</v>
      </c>
      <c r="C106" s="35" t="s">
        <v>137</v>
      </c>
      <c r="D106" s="35"/>
      <c r="E106"/>
      <c r="F106" s="16">
        <v>1.75</v>
      </c>
      <c r="G106" s="16">
        <f>Table1[[#This Row],[Cost Price]]*1.25</f>
        <v>2.1875</v>
      </c>
      <c r="H106" s="16" cm="1">
        <f t="array" aca="1" ref="H106" ca="1">Table1[]*Table1[[#This Row],[Sale Price]]</f>
        <v>0</v>
      </c>
    </row>
    <row r="107" spans="1:8">
      <c r="A107" t="s">
        <v>540</v>
      </c>
      <c r="B107" t="s">
        <v>541</v>
      </c>
      <c r="C107" s="35" t="s">
        <v>137</v>
      </c>
      <c r="D107" s="35"/>
      <c r="E107"/>
      <c r="F107" s="16">
        <v>2.29</v>
      </c>
      <c r="G107" s="16">
        <f>Table1[[#This Row],[Cost Price]]*1.25</f>
        <v>2.8624999999999998</v>
      </c>
      <c r="H107" s="16" cm="1">
        <f t="array" aca="1" ref="H107" ca="1">Table1[]*Table1[[#This Row],[Sale Price]]</f>
        <v>0</v>
      </c>
    </row>
    <row r="108" spans="1:8">
      <c r="A108" t="s">
        <v>542</v>
      </c>
      <c r="B108" t="s">
        <v>543</v>
      </c>
      <c r="C108" s="35" t="s">
        <v>137</v>
      </c>
      <c r="D108" s="35"/>
      <c r="E108"/>
      <c r="F108" s="16">
        <v>2.99</v>
      </c>
      <c r="G108" s="16">
        <f>Table1[[#This Row],[Cost Price]]*1.25</f>
        <v>3.7375000000000003</v>
      </c>
      <c r="H108" s="16" cm="1">
        <f t="array" aca="1" ref="H108" ca="1">Table1[]*Table1[[#This Row],[Sale Price]]</f>
        <v>0</v>
      </c>
    </row>
    <row r="109" spans="1:8">
      <c r="A109" t="s">
        <v>544</v>
      </c>
      <c r="B109" t="s">
        <v>545</v>
      </c>
      <c r="C109" s="35" t="s">
        <v>546</v>
      </c>
      <c r="D109" s="35"/>
      <c r="E109"/>
      <c r="F109" s="16">
        <v>4.49</v>
      </c>
      <c r="G109" s="16">
        <f>Table1[[#This Row],[Cost Price]]*1.25</f>
        <v>5.6125000000000007</v>
      </c>
      <c r="H109" s="16" cm="1">
        <f t="array" aca="1" ref="H109" ca="1">Table1[]*Table1[[#This Row],[Sale Price]]</f>
        <v>0</v>
      </c>
    </row>
    <row r="110" spans="1:8">
      <c r="A110" t="s">
        <v>548</v>
      </c>
      <c r="B110" t="s">
        <v>1161</v>
      </c>
      <c r="C110" s="35" t="s">
        <v>137</v>
      </c>
      <c r="D110" s="35"/>
      <c r="E110"/>
      <c r="F110" s="16">
        <v>2.99</v>
      </c>
      <c r="G110" s="16">
        <f>Table1[[#This Row],[Cost Price]]*1.25</f>
        <v>3.7375000000000003</v>
      </c>
      <c r="H110" s="16" cm="1">
        <f t="array" aca="1" ref="H110" ca="1">Table1[]*Table1[[#This Row],[Sale Price]]</f>
        <v>0</v>
      </c>
    </row>
    <row r="111" spans="1:8">
      <c r="A111" t="s">
        <v>549</v>
      </c>
      <c r="B111" t="s">
        <v>550</v>
      </c>
      <c r="C111" s="35" t="s">
        <v>137</v>
      </c>
      <c r="D111" s="35"/>
      <c r="E111"/>
      <c r="F111" s="16">
        <v>4.49</v>
      </c>
      <c r="G111" s="16">
        <f>Table1[[#This Row],[Cost Price]]*1.25</f>
        <v>5.6125000000000007</v>
      </c>
      <c r="H111" s="16" cm="1">
        <f t="array" aca="1" ref="H111" ca="1">Table1[]*Table1[[#This Row],[Sale Price]]</f>
        <v>0</v>
      </c>
    </row>
    <row r="112" spans="1:8">
      <c r="A112" s="29"/>
      <c r="B112" s="29" t="s">
        <v>551</v>
      </c>
      <c r="C112" s="36"/>
      <c r="D112" s="36"/>
      <c r="E112" s="29"/>
      <c r="F112" s="30"/>
      <c r="G112" s="30"/>
      <c r="H112" s="30"/>
    </row>
    <row r="113" spans="1:8">
      <c r="A113" t="s">
        <v>565</v>
      </c>
      <c r="B113" t="s">
        <v>1162</v>
      </c>
      <c r="C113" s="35" t="s">
        <v>1163</v>
      </c>
      <c r="D113" s="35"/>
      <c r="E113" t="s">
        <v>566</v>
      </c>
      <c r="F113" s="16">
        <v>35.99</v>
      </c>
      <c r="G113" s="16">
        <f>Table1[[#This Row],[Cost Price]]*1.25</f>
        <v>44.987500000000004</v>
      </c>
      <c r="H113" s="16" cm="1">
        <f t="array" aca="1" ref="H113" ca="1">Table1[]*Table1[[#This Row],[Sale Price]]</f>
        <v>0</v>
      </c>
    </row>
    <row r="114" spans="1:8">
      <c r="A114" t="s">
        <v>567</v>
      </c>
      <c r="B114" t="s">
        <v>568</v>
      </c>
      <c r="C114" s="35" t="s">
        <v>571</v>
      </c>
      <c r="D114" s="35"/>
      <c r="E114"/>
      <c r="F114" s="16">
        <v>35.99</v>
      </c>
      <c r="G114" s="16">
        <f>Table1[[#This Row],[Cost Price]]*1.25</f>
        <v>44.987500000000004</v>
      </c>
      <c r="H114" s="16" cm="1">
        <f t="array" aca="1" ref="H114" ca="1">Table1[]*Table1[[#This Row],[Sale Price]]</f>
        <v>0</v>
      </c>
    </row>
    <row r="115" spans="1:8">
      <c r="A115" t="s">
        <v>569</v>
      </c>
      <c r="B115" t="s">
        <v>570</v>
      </c>
      <c r="C115" s="35" t="s">
        <v>571</v>
      </c>
      <c r="D115" s="35"/>
      <c r="E115"/>
      <c r="F115" s="16">
        <v>35.99</v>
      </c>
      <c r="G115" s="16">
        <f>Table1[[#This Row],[Cost Price]]*1.25</f>
        <v>44.987500000000004</v>
      </c>
      <c r="H115" s="16" cm="1">
        <f t="array" aca="1" ref="H115" ca="1">Table1[]*Table1[[#This Row],[Sale Price]]</f>
        <v>0</v>
      </c>
    </row>
    <row r="116" spans="1:8">
      <c r="A116" t="s">
        <v>572</v>
      </c>
      <c r="B116" t="s">
        <v>573</v>
      </c>
      <c r="C116" s="35" t="s">
        <v>209</v>
      </c>
      <c r="D116" s="35"/>
      <c r="E116"/>
      <c r="F116" s="16">
        <v>4.99</v>
      </c>
      <c r="G116" s="16">
        <f>Table1[[#This Row],[Cost Price]]*1.25</f>
        <v>6.2375000000000007</v>
      </c>
      <c r="H116" s="16" cm="1">
        <f t="array" aca="1" ref="H116" ca="1">Table1[]*Table1[[#This Row],[Sale Price]]</f>
        <v>0</v>
      </c>
    </row>
    <row r="117" spans="1:8">
      <c r="A117" t="s">
        <v>547</v>
      </c>
      <c r="B117" t="s">
        <v>1164</v>
      </c>
      <c r="C117" s="35" t="s">
        <v>366</v>
      </c>
      <c r="D117" s="35"/>
      <c r="E117"/>
      <c r="F117" s="16">
        <v>29.99</v>
      </c>
      <c r="G117" s="16">
        <f>Table1[[#This Row],[Cost Price]]*1.25</f>
        <v>37.487499999999997</v>
      </c>
      <c r="H117" s="16" cm="1">
        <f t="array" aca="1" ref="H117" ca="1">Table1[]*Table1[[#This Row],[Sale Price]]</f>
        <v>0</v>
      </c>
    </row>
    <row r="118" spans="1:8">
      <c r="A118" s="29"/>
      <c r="B118" s="29" t="s">
        <v>579</v>
      </c>
      <c r="C118" s="36"/>
      <c r="D118" s="36"/>
      <c r="E118" s="29"/>
      <c r="F118" s="30"/>
      <c r="G118" s="30"/>
      <c r="H118" s="30"/>
    </row>
    <row r="119" spans="1:8">
      <c r="A119" t="s">
        <v>574</v>
      </c>
      <c r="B119" t="s">
        <v>580</v>
      </c>
      <c r="C119" s="35" t="s">
        <v>294</v>
      </c>
      <c r="D119" s="35"/>
      <c r="E119" t="s">
        <v>575</v>
      </c>
      <c r="F119" s="16">
        <v>7.09</v>
      </c>
      <c r="G119" s="16">
        <f>Table1[[#This Row],[Cost Price]]*1.25</f>
        <v>8.8625000000000007</v>
      </c>
      <c r="H119" s="16" cm="1">
        <f t="array" aca="1" ref="H119" ca="1">Table1[]*Table1[[#This Row],[Sale Price]]</f>
        <v>0</v>
      </c>
    </row>
    <row r="120" spans="1:8">
      <c r="A120" t="s">
        <v>576</v>
      </c>
      <c r="B120" t="s">
        <v>580</v>
      </c>
      <c r="C120" s="35" t="s">
        <v>78</v>
      </c>
      <c r="D120" s="35"/>
      <c r="E120" t="s">
        <v>575</v>
      </c>
      <c r="F120" s="16">
        <v>10.99</v>
      </c>
      <c r="G120" s="16">
        <f>Table1[[#This Row],[Cost Price]]*1.25</f>
        <v>13.737500000000001</v>
      </c>
      <c r="H120" s="16" cm="1">
        <f t="array" aca="1" ref="H120" ca="1">Table1[]*Table1[[#This Row],[Sale Price]]</f>
        <v>0</v>
      </c>
    </row>
    <row r="121" spans="1:8">
      <c r="A121" t="s">
        <v>577</v>
      </c>
      <c r="B121" t="s">
        <v>581</v>
      </c>
      <c r="C121" s="35" t="s">
        <v>294</v>
      </c>
      <c r="D121" s="35"/>
      <c r="E121" t="s">
        <v>575</v>
      </c>
      <c r="F121" s="16">
        <v>11.49</v>
      </c>
      <c r="G121" s="16">
        <f>Table1[[#This Row],[Cost Price]]*1.25</f>
        <v>14.362500000000001</v>
      </c>
      <c r="H121" s="16" cm="1">
        <f t="array" aca="1" ref="H121" ca="1">Table1[]*Table1[[#This Row],[Sale Price]]</f>
        <v>0</v>
      </c>
    </row>
    <row r="122" spans="1:8">
      <c r="A122" t="s">
        <v>578</v>
      </c>
      <c r="B122" t="s">
        <v>1046</v>
      </c>
      <c r="C122" s="35" t="s">
        <v>176</v>
      </c>
      <c r="D122" s="35"/>
      <c r="E122" t="s">
        <v>575</v>
      </c>
      <c r="F122" s="16">
        <v>2.99</v>
      </c>
      <c r="G122" s="16">
        <f>Table1[[#This Row],[Cost Price]]*1.25</f>
        <v>3.7375000000000003</v>
      </c>
      <c r="H122" s="16" cm="1">
        <f t="array" aca="1" ref="H122" ca="1">Table1[]*Table1[[#This Row],[Sale Price]]</f>
        <v>0</v>
      </c>
    </row>
    <row r="123" spans="1:8">
      <c r="A123" t="s">
        <v>583</v>
      </c>
      <c r="B123" t="s">
        <v>1165</v>
      </c>
      <c r="C123" s="35" t="s">
        <v>294</v>
      </c>
      <c r="D123" s="35"/>
      <c r="E123" t="s">
        <v>584</v>
      </c>
      <c r="F123" s="16">
        <v>10.99</v>
      </c>
      <c r="G123" s="16">
        <f>Table1[[#This Row],[Cost Price]]*1.25</f>
        <v>13.737500000000001</v>
      </c>
      <c r="H123" s="16" cm="1">
        <f t="array" aca="1" ref="H123" ca="1">Table1[]*Table1[[#This Row],[Sale Price]]</f>
        <v>0</v>
      </c>
    </row>
    <row r="124" spans="1:8">
      <c r="A124" t="s">
        <v>585</v>
      </c>
      <c r="B124" t="s">
        <v>582</v>
      </c>
      <c r="C124" s="35" t="s">
        <v>294</v>
      </c>
      <c r="D124" s="35"/>
      <c r="E124" t="s">
        <v>575</v>
      </c>
      <c r="F124" s="16">
        <v>14.99</v>
      </c>
      <c r="G124" s="16">
        <f>Table1[[#This Row],[Cost Price]]*1.25</f>
        <v>18.737500000000001</v>
      </c>
      <c r="H124" s="16" cm="1">
        <f t="array" aca="1" ref="H124" ca="1">Table1[]*Table1[[#This Row],[Sale Price]]</f>
        <v>0</v>
      </c>
    </row>
    <row r="125" spans="1:8">
      <c r="A125" t="s">
        <v>586</v>
      </c>
      <c r="B125" t="s">
        <v>587</v>
      </c>
      <c r="C125" s="35" t="s">
        <v>78</v>
      </c>
      <c r="D125" s="35"/>
      <c r="E125"/>
      <c r="F125" s="16">
        <v>13.99</v>
      </c>
      <c r="G125" s="16">
        <f>Table1[[#This Row],[Cost Price]]*1.25</f>
        <v>17.487500000000001</v>
      </c>
      <c r="H125" s="16" cm="1">
        <f t="array" aca="1" ref="H125" ca="1">Table1[]*Table1[[#This Row],[Sale Price]]</f>
        <v>0</v>
      </c>
    </row>
    <row r="126" spans="1:8">
      <c r="A126" s="29"/>
      <c r="B126" s="29" t="s">
        <v>590</v>
      </c>
      <c r="C126" s="36"/>
      <c r="D126" s="36"/>
      <c r="E126" s="29"/>
      <c r="F126" s="30"/>
      <c r="G126" s="30"/>
      <c r="H126" s="30"/>
    </row>
    <row r="127" spans="1:8">
      <c r="A127" t="s">
        <v>591</v>
      </c>
      <c r="B127" t="s">
        <v>592</v>
      </c>
      <c r="C127" s="35" t="s">
        <v>1275</v>
      </c>
      <c r="D127" s="35" t="s">
        <v>1274</v>
      </c>
      <c r="E127"/>
      <c r="F127" s="16">
        <v>35.49</v>
      </c>
      <c r="G127" s="16">
        <f>Table1[[#This Row],[Cost Price]]*1.25</f>
        <v>44.362500000000004</v>
      </c>
      <c r="H127" s="16" cm="1">
        <f t="array" aca="1" ref="H127" ca="1">Table1[]*Table1[[#This Row],[Sale Price]]</f>
        <v>0</v>
      </c>
    </row>
    <row r="128" spans="1:8">
      <c r="A128" t="s">
        <v>593</v>
      </c>
      <c r="B128" t="s">
        <v>594</v>
      </c>
      <c r="C128" s="35" t="s">
        <v>1276</v>
      </c>
      <c r="D128" s="35" t="s">
        <v>1274</v>
      </c>
      <c r="E128"/>
      <c r="F128" s="16">
        <v>15.45</v>
      </c>
      <c r="G128" s="16">
        <f>Table1[[#This Row],[Cost Price]]*1.25</f>
        <v>19.3125</v>
      </c>
      <c r="H128" s="16" cm="1">
        <f t="array" aca="1" ref="H128" ca="1">Table1[]*Table1[[#This Row],[Sale Price]]</f>
        <v>0</v>
      </c>
    </row>
    <row r="129" spans="1:8">
      <c r="A129" t="s">
        <v>595</v>
      </c>
      <c r="B129" t="s">
        <v>1263</v>
      </c>
      <c r="C129" s="35">
        <v>2.25</v>
      </c>
      <c r="D129" s="35" t="s">
        <v>1271</v>
      </c>
      <c r="E129"/>
      <c r="F129" s="16">
        <v>12.49</v>
      </c>
      <c r="G129" s="16">
        <f>Table1[[#This Row],[Cost Price]]*1.25</f>
        <v>15.612500000000001</v>
      </c>
      <c r="H129" s="16" cm="1">
        <f t="array" aca="1" ref="H129" ca="1">Table1[]*Table1[[#This Row],[Sale Price]]</f>
        <v>0</v>
      </c>
    </row>
    <row r="132" spans="1:8">
      <c r="A132" s="39" t="s">
        <v>1017</v>
      </c>
      <c r="B132" s="39"/>
      <c r="C132" s="39"/>
    </row>
    <row r="133" spans="1:8">
      <c r="A133" s="39"/>
      <c r="B133" s="39"/>
      <c r="C133" s="39"/>
    </row>
    <row r="134" spans="1:8">
      <c r="A134" s="2" t="s">
        <v>654</v>
      </c>
      <c r="B134" s="2" t="s">
        <v>655</v>
      </c>
      <c r="C134" s="2" t="s">
        <v>0</v>
      </c>
      <c r="D134" s="2" t="s">
        <v>1</v>
      </c>
      <c r="E134" s="2" t="s">
        <v>2</v>
      </c>
    </row>
  </sheetData>
  <mergeCells count="2">
    <mergeCell ref="B1:D4"/>
    <mergeCell ref="A132:C133"/>
  </mergeCells>
  <phoneticPr fontId="8" type="noConversion"/>
  <pageMargins left="0.7" right="0.7" top="0.75" bottom="0.75" header="0.3" footer="0.3"/>
  <pageSetup paperSize="9" orientation="portrait" horizontalDpi="1200" verticalDpi="1200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H57"/>
  <sheetViews>
    <sheetView tabSelected="1" zoomScaleNormal="100" workbookViewId="0">
      <selection activeCell="B6" sqref="B6"/>
    </sheetView>
  </sheetViews>
  <sheetFormatPr defaultColWidth="27.77734375" defaultRowHeight="14.4"/>
  <cols>
    <col min="1" max="1" width="12.77734375" style="19" customWidth="1"/>
    <col min="2" max="2" width="27.77734375" style="19"/>
    <col min="3" max="3" width="12.77734375" style="19" customWidth="1"/>
    <col min="4" max="4" width="15.77734375" style="19" customWidth="1"/>
    <col min="5" max="5" width="27.77734375" style="19"/>
    <col min="6" max="6" width="27.77734375" style="19" customWidth="1"/>
    <col min="7" max="7" width="27.77734375" style="20"/>
    <col min="8" max="16384" width="27.77734375" style="19"/>
  </cols>
  <sheetData>
    <row r="1" spans="1:8">
      <c r="A1" s="3"/>
      <c r="B1" s="37" t="s">
        <v>1174</v>
      </c>
      <c r="C1" s="38"/>
      <c r="D1" s="38"/>
      <c r="E1" s="3"/>
      <c r="F1" s="3"/>
      <c r="G1" s="15"/>
      <c r="H1" s="15"/>
    </row>
    <row r="2" spans="1:8">
      <c r="A2" s="3"/>
      <c r="B2" s="38"/>
      <c r="C2" s="38"/>
      <c r="D2" s="38"/>
      <c r="E2" s="3"/>
      <c r="F2" s="3"/>
      <c r="G2" s="15"/>
      <c r="H2" s="15"/>
    </row>
    <row r="3" spans="1:8">
      <c r="A3" s="3"/>
      <c r="B3" s="38"/>
      <c r="C3" s="38"/>
      <c r="D3" s="38"/>
      <c r="E3" s="3"/>
      <c r="F3" s="3"/>
      <c r="G3" s="15"/>
      <c r="H3" s="15"/>
    </row>
    <row r="4" spans="1:8">
      <c r="A4" s="3"/>
      <c r="B4" s="38"/>
      <c r="C4" s="38"/>
      <c r="D4" s="38"/>
      <c r="E4" s="3"/>
      <c r="F4" s="3"/>
      <c r="G4" s="15"/>
      <c r="H4" s="15"/>
    </row>
    <row r="5" spans="1:8">
      <c r="A5" s="3"/>
      <c r="B5" s="3"/>
      <c r="C5" s="3"/>
      <c r="D5" s="3"/>
      <c r="E5" s="3"/>
      <c r="F5" s="3"/>
      <c r="G5" s="15"/>
      <c r="H5" s="15"/>
    </row>
    <row r="6" spans="1:8">
      <c r="A6" s="2" t="s">
        <v>654</v>
      </c>
      <c r="B6" s="2" t="s">
        <v>1269</v>
      </c>
      <c r="C6" s="2" t="s">
        <v>0</v>
      </c>
      <c r="D6" s="2" t="s">
        <v>1</v>
      </c>
      <c r="E6" s="2" t="s">
        <v>2</v>
      </c>
      <c r="F6" s="2" t="s">
        <v>1151</v>
      </c>
      <c r="G6" s="17" t="s">
        <v>1057</v>
      </c>
      <c r="H6" s="2" t="s">
        <v>1175</v>
      </c>
    </row>
    <row r="7" spans="1:8">
      <c r="A7" s="29"/>
      <c r="B7" s="29" t="s">
        <v>554</v>
      </c>
      <c r="C7" s="29"/>
      <c r="D7" s="29"/>
      <c r="E7" s="29"/>
      <c r="F7" s="29"/>
      <c r="G7" s="30"/>
      <c r="H7" s="30"/>
    </row>
    <row r="8" spans="1:8">
      <c r="A8" t="s">
        <v>445</v>
      </c>
      <c r="B8" t="s">
        <v>448</v>
      </c>
      <c r="C8" t="s">
        <v>176</v>
      </c>
      <c r="D8"/>
      <c r="E8"/>
      <c r="F8">
        <v>3.39</v>
      </c>
      <c r="G8" s="16">
        <f>Table4[[#This Row],[Cost Price]]*1.25</f>
        <v>4.2374999999999998</v>
      </c>
      <c r="H8" s="16">
        <f>Table4[[#This Row],[ORDER QTY]]*Table4[[#This Row],[Sale Price]]</f>
        <v>0</v>
      </c>
    </row>
    <row r="9" spans="1:8">
      <c r="A9" t="s">
        <v>446</v>
      </c>
      <c r="B9" t="s">
        <v>449</v>
      </c>
      <c r="C9" t="s">
        <v>210</v>
      </c>
      <c r="D9"/>
      <c r="E9"/>
      <c r="F9">
        <v>8.2899999999999991</v>
      </c>
      <c r="G9" s="16">
        <f>Table4[[#This Row],[Cost Price]]*1.25</f>
        <v>10.362499999999999</v>
      </c>
      <c r="H9" s="16">
        <f>Table4[[#This Row],[ORDER QTY]]*Table4[[#This Row],[Sale Price]]</f>
        <v>0</v>
      </c>
    </row>
    <row r="10" spans="1:8">
      <c r="A10" t="s">
        <v>447</v>
      </c>
      <c r="B10" t="s">
        <v>450</v>
      </c>
      <c r="C10" t="s">
        <v>176</v>
      </c>
      <c r="D10"/>
      <c r="E10"/>
      <c r="F10">
        <v>3.29</v>
      </c>
      <c r="G10" s="16">
        <f>Table4[[#This Row],[Cost Price]]*1.25</f>
        <v>4.1124999999999998</v>
      </c>
      <c r="H10" s="16">
        <f>Table4[[#This Row],[ORDER QTY]]*Table4[[#This Row],[Sale Price]]</f>
        <v>0</v>
      </c>
    </row>
    <row r="11" spans="1:8">
      <c r="A11" t="s">
        <v>451</v>
      </c>
      <c r="B11" t="s">
        <v>450</v>
      </c>
      <c r="C11" t="s">
        <v>210</v>
      </c>
      <c r="D11"/>
      <c r="E11"/>
      <c r="F11">
        <v>4.29</v>
      </c>
      <c r="G11" s="16">
        <f>Table4[[#This Row],[Cost Price]]*1.25</f>
        <v>5.3624999999999998</v>
      </c>
      <c r="H11" s="16">
        <f>Table4[[#This Row],[ORDER QTY]]*Table4[[#This Row],[Sale Price]]</f>
        <v>0</v>
      </c>
    </row>
    <row r="12" spans="1:8">
      <c r="A12" t="s">
        <v>452</v>
      </c>
      <c r="B12" t="s">
        <v>453</v>
      </c>
      <c r="C12" t="s">
        <v>176</v>
      </c>
      <c r="D12"/>
      <c r="E12"/>
      <c r="F12">
        <v>2.79</v>
      </c>
      <c r="G12" s="16">
        <f>Table4[[#This Row],[Cost Price]]*1.25</f>
        <v>3.4874999999999998</v>
      </c>
      <c r="H12" s="16">
        <f>Table4[[#This Row],[ORDER QTY]]*Table4[[#This Row],[Sale Price]]</f>
        <v>0</v>
      </c>
    </row>
    <row r="13" spans="1:8">
      <c r="A13" t="s">
        <v>454</v>
      </c>
      <c r="B13" t="s">
        <v>455</v>
      </c>
      <c r="C13" t="s">
        <v>210</v>
      </c>
      <c r="D13"/>
      <c r="E13"/>
      <c r="F13">
        <v>5.29</v>
      </c>
      <c r="G13" s="16">
        <f>Table4[[#This Row],[Cost Price]]*1.25</f>
        <v>6.6124999999999998</v>
      </c>
      <c r="H13" s="16">
        <f>Table4[[#This Row],[ORDER QTY]]*Table4[[#This Row],[Sale Price]]</f>
        <v>0</v>
      </c>
    </row>
    <row r="14" spans="1:8">
      <c r="A14" t="s">
        <v>456</v>
      </c>
      <c r="B14" t="s">
        <v>457</v>
      </c>
      <c r="C14" t="s">
        <v>210</v>
      </c>
      <c r="D14"/>
      <c r="E14"/>
      <c r="F14">
        <v>4.79</v>
      </c>
      <c r="G14" s="16">
        <f>Table4[[#This Row],[Cost Price]]*1.25</f>
        <v>5.9874999999999998</v>
      </c>
      <c r="H14" s="16">
        <f>Table4[[#This Row],[ORDER QTY]]*Table4[[#This Row],[Sale Price]]</f>
        <v>0</v>
      </c>
    </row>
    <row r="15" spans="1:8">
      <c r="A15" t="s">
        <v>458</v>
      </c>
      <c r="B15" t="s">
        <v>459</v>
      </c>
      <c r="C15" t="s">
        <v>176</v>
      </c>
      <c r="D15"/>
      <c r="E15"/>
      <c r="F15">
        <v>3.29</v>
      </c>
      <c r="G15" s="16">
        <f>Table4[[#This Row],[Cost Price]]*1.25</f>
        <v>4.1124999999999998</v>
      </c>
      <c r="H15" s="16">
        <f>Table4[[#This Row],[ORDER QTY]]*Table4[[#This Row],[Sale Price]]</f>
        <v>0</v>
      </c>
    </row>
    <row r="16" spans="1:8">
      <c r="A16" t="s">
        <v>460</v>
      </c>
      <c r="B16" t="s">
        <v>461</v>
      </c>
      <c r="C16" t="s">
        <v>176</v>
      </c>
      <c r="D16"/>
      <c r="E16"/>
      <c r="F16">
        <v>3.29</v>
      </c>
      <c r="G16" s="16">
        <f>Table4[[#This Row],[Cost Price]]*1.25</f>
        <v>4.1124999999999998</v>
      </c>
      <c r="H16" s="16">
        <f>Table4[[#This Row],[ORDER QTY]]*Table4[[#This Row],[Sale Price]]</f>
        <v>0</v>
      </c>
    </row>
    <row r="17" spans="1:8">
      <c r="A17" t="s">
        <v>462</v>
      </c>
      <c r="B17" t="s">
        <v>463</v>
      </c>
      <c r="C17" t="s">
        <v>464</v>
      </c>
      <c r="D17"/>
      <c r="E17"/>
      <c r="F17">
        <v>22.29</v>
      </c>
      <c r="G17" s="16">
        <f>Table4[[#This Row],[Cost Price]]*1.25</f>
        <v>27.862499999999997</v>
      </c>
      <c r="H17" s="16">
        <f>Table4[[#This Row],[ORDER QTY]]*Table4[[#This Row],[Sale Price]]</f>
        <v>0</v>
      </c>
    </row>
    <row r="18" spans="1:8">
      <c r="A18" t="s">
        <v>465</v>
      </c>
      <c r="B18" t="s">
        <v>466</v>
      </c>
      <c r="C18" t="s">
        <v>176</v>
      </c>
      <c r="D18"/>
      <c r="E18"/>
      <c r="F18">
        <v>4.29</v>
      </c>
      <c r="G18" s="16">
        <f>Table4[[#This Row],[Cost Price]]*1.25</f>
        <v>5.3624999999999998</v>
      </c>
      <c r="H18" s="16">
        <f>Table4[[#This Row],[ORDER QTY]]*Table4[[#This Row],[Sale Price]]</f>
        <v>0</v>
      </c>
    </row>
    <row r="19" spans="1:8">
      <c r="A19" t="s">
        <v>467</v>
      </c>
      <c r="B19" t="s">
        <v>466</v>
      </c>
      <c r="C19" t="s">
        <v>210</v>
      </c>
      <c r="D19"/>
      <c r="E19"/>
      <c r="F19">
        <v>7.79</v>
      </c>
      <c r="G19" s="16">
        <f>Table4[[#This Row],[Cost Price]]*1.25</f>
        <v>9.7375000000000007</v>
      </c>
      <c r="H19" s="16">
        <f>Table4[[#This Row],[ORDER QTY]]*Table4[[#This Row],[Sale Price]]</f>
        <v>0</v>
      </c>
    </row>
    <row r="20" spans="1:8">
      <c r="A20" t="s">
        <v>468</v>
      </c>
      <c r="B20" t="s">
        <v>443</v>
      </c>
      <c r="C20" t="s">
        <v>176</v>
      </c>
      <c r="D20"/>
      <c r="E20"/>
      <c r="F20">
        <v>3.79</v>
      </c>
      <c r="G20" s="16">
        <f>Table4[[#This Row],[Cost Price]]*1.25</f>
        <v>4.7374999999999998</v>
      </c>
      <c r="H20" s="16">
        <f>Table4[[#This Row],[ORDER QTY]]*Table4[[#This Row],[Sale Price]]</f>
        <v>0</v>
      </c>
    </row>
    <row r="21" spans="1:8">
      <c r="A21" t="s">
        <v>469</v>
      </c>
      <c r="B21" t="s">
        <v>443</v>
      </c>
      <c r="C21" t="s">
        <v>470</v>
      </c>
      <c r="D21"/>
      <c r="E21"/>
      <c r="F21">
        <v>6.29</v>
      </c>
      <c r="G21" s="16">
        <f>Table4[[#This Row],[Cost Price]]*1.25</f>
        <v>7.8624999999999998</v>
      </c>
      <c r="H21" s="16">
        <f>Table4[[#This Row],[ORDER QTY]]*Table4[[#This Row],[Sale Price]]</f>
        <v>0</v>
      </c>
    </row>
    <row r="22" spans="1:8">
      <c r="A22" t="s">
        <v>471</v>
      </c>
      <c r="B22" t="s">
        <v>472</v>
      </c>
      <c r="C22" t="s">
        <v>176</v>
      </c>
      <c r="D22"/>
      <c r="E22"/>
      <c r="F22">
        <v>3.79</v>
      </c>
      <c r="G22" s="16">
        <f>Table4[[#This Row],[Cost Price]]*1.25</f>
        <v>4.7374999999999998</v>
      </c>
      <c r="H22" s="16">
        <f>Table4[[#This Row],[ORDER QTY]]*Table4[[#This Row],[Sale Price]]</f>
        <v>0</v>
      </c>
    </row>
    <row r="23" spans="1:8">
      <c r="A23" t="s">
        <v>473</v>
      </c>
      <c r="B23" t="s">
        <v>474</v>
      </c>
      <c r="C23" t="s">
        <v>176</v>
      </c>
      <c r="D23"/>
      <c r="E23"/>
      <c r="F23">
        <v>3.79</v>
      </c>
      <c r="G23" s="16">
        <f>Table4[[#This Row],[Cost Price]]*1.25</f>
        <v>4.7374999999999998</v>
      </c>
      <c r="H23" s="16">
        <f>Table4[[#This Row],[ORDER QTY]]*Table4[[#This Row],[Sale Price]]</f>
        <v>0</v>
      </c>
    </row>
    <row r="24" spans="1:8">
      <c r="A24" t="s">
        <v>475</v>
      </c>
      <c r="B24" t="s">
        <v>474</v>
      </c>
      <c r="C24" t="s">
        <v>210</v>
      </c>
      <c r="D24"/>
      <c r="E24"/>
      <c r="F24">
        <v>6.29</v>
      </c>
      <c r="G24" s="16">
        <f>Table4[[#This Row],[Cost Price]]*1.25</f>
        <v>7.8624999999999998</v>
      </c>
      <c r="H24" s="16">
        <f>Table4[[#This Row],[ORDER QTY]]*Table4[[#This Row],[Sale Price]]</f>
        <v>0</v>
      </c>
    </row>
    <row r="25" spans="1:8">
      <c r="A25" t="s">
        <v>476</v>
      </c>
      <c r="B25" t="s">
        <v>477</v>
      </c>
      <c r="C25" t="s">
        <v>176</v>
      </c>
      <c r="D25"/>
      <c r="E25"/>
      <c r="F25">
        <v>2.79</v>
      </c>
      <c r="G25" s="16">
        <f>Table4[[#This Row],[Cost Price]]*1.25</f>
        <v>3.4874999999999998</v>
      </c>
      <c r="H25" s="16">
        <f>Table4[[#This Row],[ORDER QTY]]*Table4[[#This Row],[Sale Price]]</f>
        <v>0</v>
      </c>
    </row>
    <row r="26" spans="1:8">
      <c r="A26" t="s">
        <v>478</v>
      </c>
      <c r="B26" t="s">
        <v>479</v>
      </c>
      <c r="C26" t="s">
        <v>176</v>
      </c>
      <c r="D26"/>
      <c r="E26"/>
      <c r="F26">
        <v>3.79</v>
      </c>
      <c r="G26" s="16">
        <f>Table4[[#This Row],[Cost Price]]*1.25</f>
        <v>4.7374999999999998</v>
      </c>
      <c r="H26" s="16">
        <f>Table4[[#This Row],[ORDER QTY]]*Table4[[#This Row],[Sale Price]]</f>
        <v>0</v>
      </c>
    </row>
    <row r="27" spans="1:8">
      <c r="A27" t="s">
        <v>480</v>
      </c>
      <c r="B27" t="s">
        <v>481</v>
      </c>
      <c r="C27" t="s">
        <v>176</v>
      </c>
      <c r="D27"/>
      <c r="E27"/>
      <c r="F27">
        <v>2.79</v>
      </c>
      <c r="G27" s="16">
        <f>Table4[[#This Row],[Cost Price]]*1.25</f>
        <v>3.4874999999999998</v>
      </c>
      <c r="H27" s="16">
        <f>Table4[[#This Row],[ORDER QTY]]*Table4[[#This Row],[Sale Price]]</f>
        <v>0</v>
      </c>
    </row>
    <row r="28" spans="1:8">
      <c r="A28" t="s">
        <v>486</v>
      </c>
      <c r="B28" t="s">
        <v>481</v>
      </c>
      <c r="C28" t="s">
        <v>210</v>
      </c>
      <c r="D28"/>
      <c r="E28"/>
      <c r="F28">
        <v>6.29</v>
      </c>
      <c r="G28" s="16">
        <f>Table4[[#This Row],[Cost Price]]*1.25</f>
        <v>7.8624999999999998</v>
      </c>
      <c r="H28" s="16">
        <f>Table4[[#This Row],[ORDER QTY]]*Table4[[#This Row],[Sale Price]]</f>
        <v>0</v>
      </c>
    </row>
    <row r="29" spans="1:8">
      <c r="A29" t="s">
        <v>483</v>
      </c>
      <c r="B29" t="s">
        <v>482</v>
      </c>
      <c r="C29" t="s">
        <v>210</v>
      </c>
      <c r="D29"/>
      <c r="E29"/>
      <c r="F29">
        <v>7.29</v>
      </c>
      <c r="G29" s="16">
        <f>Table4[[#This Row],[Cost Price]]*1.25</f>
        <v>9.1125000000000007</v>
      </c>
      <c r="H29" s="16">
        <f>Table4[[#This Row],[ORDER QTY]]*Table4[[#This Row],[Sale Price]]</f>
        <v>0</v>
      </c>
    </row>
    <row r="30" spans="1:8">
      <c r="A30" t="s">
        <v>484</v>
      </c>
      <c r="B30" t="s">
        <v>485</v>
      </c>
      <c r="C30" t="s">
        <v>210</v>
      </c>
      <c r="D30"/>
      <c r="E30"/>
      <c r="F30">
        <v>4.79</v>
      </c>
      <c r="G30" s="16">
        <f>Table4[[#This Row],[Cost Price]]*1.25</f>
        <v>5.9874999999999998</v>
      </c>
      <c r="H30" s="16">
        <f>Table4[[#This Row],[ORDER QTY]]*Table4[[#This Row],[Sale Price]]</f>
        <v>0</v>
      </c>
    </row>
    <row r="31" spans="1:8">
      <c r="A31" t="s">
        <v>488</v>
      </c>
      <c r="B31" t="s">
        <v>487</v>
      </c>
      <c r="C31" t="s">
        <v>210</v>
      </c>
      <c r="D31"/>
      <c r="E31"/>
      <c r="F31">
        <v>6.29</v>
      </c>
      <c r="G31" s="16">
        <f>Table4[[#This Row],[Cost Price]]*1.25</f>
        <v>7.8624999999999998</v>
      </c>
      <c r="H31" s="16">
        <f>Table4[[#This Row],[ORDER QTY]]*Table4[[#This Row],[Sale Price]]</f>
        <v>0</v>
      </c>
    </row>
    <row r="32" spans="1:8">
      <c r="A32" t="s">
        <v>489</v>
      </c>
      <c r="B32" t="s">
        <v>490</v>
      </c>
      <c r="C32" t="s">
        <v>176</v>
      </c>
      <c r="D32"/>
      <c r="E32" t="s">
        <v>1047</v>
      </c>
      <c r="F32">
        <v>3.29</v>
      </c>
      <c r="G32" s="16">
        <f>Table4[[#This Row],[Cost Price]]*1.25</f>
        <v>4.1124999999999998</v>
      </c>
      <c r="H32" s="16">
        <f>Table4[[#This Row],[ORDER QTY]]*Table4[[#This Row],[Sale Price]]</f>
        <v>0</v>
      </c>
    </row>
    <row r="33" spans="1:8">
      <c r="A33" t="s">
        <v>491</v>
      </c>
      <c r="B33" t="s">
        <v>492</v>
      </c>
      <c r="C33" t="s">
        <v>176</v>
      </c>
      <c r="D33"/>
      <c r="E33"/>
      <c r="F33">
        <v>2.79</v>
      </c>
      <c r="G33" s="16">
        <f>Table4[[#This Row],[Cost Price]]*1.25</f>
        <v>3.4874999999999998</v>
      </c>
      <c r="H33" s="16">
        <f>Table4[[#This Row],[ORDER QTY]]*Table4[[#This Row],[Sale Price]]</f>
        <v>0</v>
      </c>
    </row>
    <row r="34" spans="1:8">
      <c r="A34" t="s">
        <v>493</v>
      </c>
      <c r="B34" t="s">
        <v>494</v>
      </c>
      <c r="C34" t="s">
        <v>495</v>
      </c>
      <c r="D34"/>
      <c r="E34"/>
      <c r="F34">
        <v>8.9600000000000009</v>
      </c>
      <c r="G34" s="16">
        <f>Table4[[#This Row],[Cost Price]]*1.25</f>
        <v>11.200000000000001</v>
      </c>
      <c r="H34" s="16">
        <f>Table4[[#This Row],[ORDER QTY]]*Table4[[#This Row],[Sale Price]]</f>
        <v>0</v>
      </c>
    </row>
    <row r="35" spans="1:8">
      <c r="A35" t="s">
        <v>497</v>
      </c>
      <c r="B35" t="s">
        <v>496</v>
      </c>
      <c r="C35" t="s">
        <v>176</v>
      </c>
      <c r="D35"/>
      <c r="E35"/>
      <c r="F35">
        <v>8.7899999999999991</v>
      </c>
      <c r="G35" s="16">
        <f>Table4[[#This Row],[Cost Price]]*1.25</f>
        <v>10.987499999999999</v>
      </c>
      <c r="H35" s="16">
        <f>Table4[[#This Row],[ORDER QTY]]*Table4[[#This Row],[Sale Price]]</f>
        <v>0</v>
      </c>
    </row>
    <row r="36" spans="1:8">
      <c r="A36" t="s">
        <v>498</v>
      </c>
      <c r="B36" t="s">
        <v>499</v>
      </c>
      <c r="C36" t="s">
        <v>495</v>
      </c>
      <c r="D36"/>
      <c r="E36"/>
      <c r="F36">
        <v>3.79</v>
      </c>
      <c r="G36" s="16">
        <f>Table4[[#This Row],[Cost Price]]*1.25</f>
        <v>4.7374999999999998</v>
      </c>
      <c r="H36" s="16">
        <f>Table4[[#This Row],[ORDER QTY]]*Table4[[#This Row],[Sale Price]]</f>
        <v>0</v>
      </c>
    </row>
    <row r="37" spans="1:8">
      <c r="A37" t="s">
        <v>500</v>
      </c>
      <c r="B37" t="s">
        <v>501</v>
      </c>
      <c r="C37" t="s">
        <v>495</v>
      </c>
      <c r="D37"/>
      <c r="E37"/>
      <c r="F37">
        <v>3.29</v>
      </c>
      <c r="G37" s="16">
        <f>Table4[[#This Row],[Cost Price]]*1.25</f>
        <v>4.1124999999999998</v>
      </c>
      <c r="H37" s="16">
        <f>Table4[[#This Row],[ORDER QTY]]*Table4[[#This Row],[Sale Price]]</f>
        <v>0</v>
      </c>
    </row>
    <row r="38" spans="1:8">
      <c r="A38" s="29"/>
      <c r="B38" s="29" t="s">
        <v>676</v>
      </c>
      <c r="C38" s="29"/>
      <c r="D38" s="29"/>
      <c r="E38" s="29"/>
      <c r="F38" s="29"/>
      <c r="G38" s="30"/>
      <c r="H38" s="30"/>
    </row>
    <row r="39" spans="1:8">
      <c r="A39" t="s">
        <v>1166</v>
      </c>
      <c r="B39" t="s">
        <v>1167</v>
      </c>
      <c r="C39" t="s">
        <v>1168</v>
      </c>
      <c r="D39"/>
      <c r="E39"/>
      <c r="F39">
        <v>14.99</v>
      </c>
      <c r="G39" s="16">
        <f>Table4[[#This Row],[Cost Price]]*1.25</f>
        <v>18.737500000000001</v>
      </c>
      <c r="H39" s="16">
        <f>Table4[[#This Row],[ORDER QTY]]*Table4[[#This Row],[Sale Price]]</f>
        <v>0</v>
      </c>
    </row>
    <row r="40" spans="1:8">
      <c r="A40" t="s">
        <v>1169</v>
      </c>
      <c r="B40" t="s">
        <v>1170</v>
      </c>
      <c r="C40" t="s">
        <v>1168</v>
      </c>
      <c r="D40"/>
      <c r="E40"/>
      <c r="F40">
        <v>14.99</v>
      </c>
      <c r="G40" s="16">
        <f>Table4[[#This Row],[Cost Price]]*1.25</f>
        <v>18.737500000000001</v>
      </c>
      <c r="H40" s="16">
        <f>Table4[[#This Row],[ORDER QTY]]*Table4[[#This Row],[Sale Price]]</f>
        <v>0</v>
      </c>
    </row>
    <row r="41" spans="1:8">
      <c r="A41" t="s">
        <v>1171</v>
      </c>
      <c r="B41" t="s">
        <v>1172</v>
      </c>
      <c r="C41" t="s">
        <v>1168</v>
      </c>
      <c r="D41"/>
      <c r="E41"/>
      <c r="F41">
        <v>14.99</v>
      </c>
      <c r="G41" s="16">
        <f>Table4[[#This Row],[Cost Price]]*1.25</f>
        <v>18.737500000000001</v>
      </c>
      <c r="H41" s="16">
        <f>Table4[[#This Row],[ORDER QTY]]*Table4[[#This Row],[Sale Price]]</f>
        <v>0</v>
      </c>
    </row>
    <row r="42" spans="1:8">
      <c r="A42" t="s">
        <v>679</v>
      </c>
      <c r="B42" t="s">
        <v>1173</v>
      </c>
      <c r="C42" t="s">
        <v>677</v>
      </c>
      <c r="D42"/>
      <c r="E42"/>
      <c r="F42">
        <v>20.45</v>
      </c>
      <c r="G42" s="16">
        <f>Table4[[#This Row],[Cost Price]]*1.25</f>
        <v>25.5625</v>
      </c>
      <c r="H42" s="16">
        <f>Table4[[#This Row],[ORDER QTY]]*Table4[[#This Row],[Sale Price]]</f>
        <v>0</v>
      </c>
    </row>
    <row r="43" spans="1:8">
      <c r="A43" t="s">
        <v>678</v>
      </c>
      <c r="B43" t="s">
        <v>680</v>
      </c>
      <c r="C43" t="s">
        <v>677</v>
      </c>
      <c r="D43"/>
      <c r="E43" t="s">
        <v>683</v>
      </c>
      <c r="F43">
        <v>22.99</v>
      </c>
      <c r="G43" s="16">
        <f>Table4[[#This Row],[Cost Price]]*1.25</f>
        <v>28.737499999999997</v>
      </c>
      <c r="H43" s="16">
        <f>Table4[[#This Row],[ORDER QTY]]*Table4[[#This Row],[Sale Price]]</f>
        <v>0</v>
      </c>
    </row>
    <row r="44" spans="1:8">
      <c r="A44" t="s">
        <v>679</v>
      </c>
      <c r="B44" t="s">
        <v>681</v>
      </c>
      <c r="C44" t="s">
        <v>677</v>
      </c>
      <c r="D44"/>
      <c r="E44" t="s">
        <v>682</v>
      </c>
      <c r="F44">
        <v>21.99</v>
      </c>
      <c r="G44" s="16">
        <f>Table4[[#This Row],[Cost Price]]*1.25</f>
        <v>27.487499999999997</v>
      </c>
      <c r="H44" s="16">
        <f>Table4[[#This Row],[ORDER QTY]]*Table4[[#This Row],[Sale Price]]</f>
        <v>0</v>
      </c>
    </row>
    <row r="45" spans="1:8">
      <c r="A45" t="s">
        <v>684</v>
      </c>
      <c r="B45" t="s">
        <v>685</v>
      </c>
      <c r="C45" t="s">
        <v>677</v>
      </c>
      <c r="D45"/>
      <c r="E45" t="s">
        <v>686</v>
      </c>
      <c r="F45">
        <v>21.99</v>
      </c>
      <c r="G45" s="16">
        <f>Table4[[#This Row],[Cost Price]]*1.25</f>
        <v>27.487499999999997</v>
      </c>
      <c r="H45" s="16">
        <f>Table4[[#This Row],[ORDER QTY]]*Table4[[#This Row],[Sale Price]]</f>
        <v>0</v>
      </c>
    </row>
    <row r="46" spans="1:8">
      <c r="A46" t="s">
        <v>687</v>
      </c>
      <c r="B46" t="s">
        <v>688</v>
      </c>
      <c r="C46" t="s">
        <v>677</v>
      </c>
      <c r="D46"/>
      <c r="E46" t="s">
        <v>689</v>
      </c>
      <c r="F46">
        <v>21.99</v>
      </c>
      <c r="G46" s="16">
        <f>Table4[[#This Row],[Cost Price]]*1.25</f>
        <v>27.487499999999997</v>
      </c>
      <c r="H46" s="16">
        <f>Table4[[#This Row],[ORDER QTY]]*Table4[[#This Row],[Sale Price]]</f>
        <v>0</v>
      </c>
    </row>
    <row r="47" spans="1:8">
      <c r="A47" t="s">
        <v>690</v>
      </c>
      <c r="B47" t="s">
        <v>691</v>
      </c>
      <c r="C47" t="s">
        <v>677</v>
      </c>
      <c r="D47"/>
      <c r="E47"/>
      <c r="F47">
        <v>21.99</v>
      </c>
      <c r="G47" s="16">
        <f>Table4[[#This Row],[Cost Price]]*1.25</f>
        <v>27.487499999999997</v>
      </c>
      <c r="H47" s="16">
        <f>Table4[[#This Row],[ORDER QTY]]*Table4[[#This Row],[Sale Price]]</f>
        <v>0</v>
      </c>
    </row>
    <row r="48" spans="1:8">
      <c r="A48" t="s">
        <v>692</v>
      </c>
      <c r="B48" t="s">
        <v>693</v>
      </c>
      <c r="C48" t="s">
        <v>677</v>
      </c>
      <c r="D48"/>
      <c r="E48"/>
      <c r="F48">
        <v>19.489999999999998</v>
      </c>
      <c r="G48" s="16">
        <f>Table4[[#This Row],[Cost Price]]*1.25</f>
        <v>24.362499999999997</v>
      </c>
      <c r="H48" s="16">
        <f>Table4[[#This Row],[ORDER QTY]]*Table4[[#This Row],[Sale Price]]</f>
        <v>0</v>
      </c>
    </row>
    <row r="49" spans="1:8">
      <c r="A49" s="29"/>
      <c r="B49" s="29" t="s">
        <v>723</v>
      </c>
      <c r="C49" s="29"/>
      <c r="D49" s="29"/>
      <c r="E49" s="29"/>
      <c r="F49" s="29"/>
      <c r="G49" s="30"/>
      <c r="H49" s="30"/>
    </row>
    <row r="50" spans="1:8">
      <c r="A50" t="s">
        <v>724</v>
      </c>
      <c r="B50" t="s">
        <v>725</v>
      </c>
      <c r="C50" t="s">
        <v>604</v>
      </c>
      <c r="D50"/>
      <c r="E50" t="s">
        <v>726</v>
      </c>
      <c r="F50">
        <v>4.99</v>
      </c>
      <c r="G50" s="16">
        <f>Table4[[#This Row],[Cost Price]]*1.25</f>
        <v>6.2375000000000007</v>
      </c>
      <c r="H50" s="16">
        <f>Table4[[#This Row],[ORDER QTY]]*Table4[[#This Row],[Sale Price]]</f>
        <v>0</v>
      </c>
    </row>
    <row r="51" spans="1:8">
      <c r="A51" t="s">
        <v>727</v>
      </c>
      <c r="B51" t="s">
        <v>728</v>
      </c>
      <c r="C51" t="s">
        <v>729</v>
      </c>
      <c r="D51"/>
      <c r="E51"/>
      <c r="F51">
        <v>21.19</v>
      </c>
      <c r="G51" s="16">
        <f>Table4[[#This Row],[Cost Price]]*1.25</f>
        <v>26.487500000000001</v>
      </c>
      <c r="H51" s="16">
        <f>Table4[[#This Row],[ORDER QTY]]*Table4[[#This Row],[Sale Price]]</f>
        <v>0</v>
      </c>
    </row>
    <row r="52" spans="1:8">
      <c r="A52" t="s">
        <v>730</v>
      </c>
      <c r="B52" t="s">
        <v>731</v>
      </c>
      <c r="C52" t="s">
        <v>732</v>
      </c>
      <c r="D52"/>
      <c r="E52"/>
      <c r="F52">
        <v>8.49</v>
      </c>
      <c r="G52" s="16">
        <f>Table4[[#This Row],[Cost Price]]*1.25</f>
        <v>10.612500000000001</v>
      </c>
      <c r="H52" s="16">
        <f>Table4[[#This Row],[ORDER QTY]]*Table4[[#This Row],[Sale Price]]</f>
        <v>0</v>
      </c>
    </row>
    <row r="55" spans="1:8" ht="15" customHeight="1">
      <c r="A55" s="39" t="s">
        <v>1013</v>
      </c>
      <c r="B55" s="39"/>
      <c r="C55" s="39"/>
    </row>
    <row r="56" spans="1:8">
      <c r="A56" s="39"/>
      <c r="B56" s="39"/>
      <c r="C56" s="39"/>
    </row>
    <row r="57" spans="1:8">
      <c r="A57" s="2" t="s">
        <v>654</v>
      </c>
      <c r="B57" s="2" t="s">
        <v>655</v>
      </c>
      <c r="C57" s="2" t="s">
        <v>0</v>
      </c>
      <c r="D57" s="2" t="s">
        <v>1</v>
      </c>
      <c r="E57" s="2" t="s">
        <v>2</v>
      </c>
    </row>
  </sheetData>
  <mergeCells count="2">
    <mergeCell ref="B1:D4"/>
    <mergeCell ref="A55:C56"/>
  </mergeCells>
  <phoneticPr fontId="8" type="noConversion"/>
  <pageMargins left="0.7" right="0.7" top="0.75" bottom="0.75" header="0.3" footer="0.3"/>
  <pageSetup paperSize="9" orientation="portrait" horizontalDpi="1200" verticalDpi="120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H78"/>
  <sheetViews>
    <sheetView workbookViewId="0">
      <selection activeCell="B6" sqref="B6"/>
    </sheetView>
  </sheetViews>
  <sheetFormatPr defaultColWidth="27.77734375" defaultRowHeight="14.4"/>
  <cols>
    <col min="1" max="1" width="12.77734375" style="19" customWidth="1"/>
    <col min="2" max="2" width="27.77734375" style="19" customWidth="1"/>
    <col min="3" max="3" width="12.77734375" style="19" customWidth="1"/>
    <col min="4" max="4" width="15.77734375" style="19" customWidth="1"/>
    <col min="5" max="5" width="27.77734375" style="19"/>
    <col min="6" max="6" width="27.77734375" style="20" customWidth="1"/>
    <col min="7" max="8" width="27.77734375" style="20"/>
    <col min="9" max="16384" width="27.77734375" style="19"/>
  </cols>
  <sheetData>
    <row r="1" spans="1:8" ht="15" customHeight="1">
      <c r="A1" s="3"/>
      <c r="B1" s="37" t="s">
        <v>1174</v>
      </c>
      <c r="C1" s="37"/>
      <c r="D1" s="37"/>
      <c r="E1" s="3"/>
      <c r="F1" s="15"/>
      <c r="G1" s="15"/>
      <c r="H1" s="15"/>
    </row>
    <row r="2" spans="1:8" ht="15" customHeight="1">
      <c r="A2" s="3"/>
      <c r="B2" s="37"/>
      <c r="C2" s="37"/>
      <c r="D2" s="37"/>
      <c r="E2" s="3"/>
      <c r="F2" s="15"/>
      <c r="G2" s="15"/>
      <c r="H2" s="15"/>
    </row>
    <row r="3" spans="1:8" ht="15" customHeight="1">
      <c r="A3" s="3"/>
      <c r="B3" s="37"/>
      <c r="C3" s="37"/>
      <c r="D3" s="37"/>
      <c r="E3" s="3"/>
      <c r="F3" s="15"/>
      <c r="G3" s="15"/>
      <c r="H3" s="15"/>
    </row>
    <row r="4" spans="1:8" ht="15" customHeight="1">
      <c r="A4" s="3"/>
      <c r="B4" s="37"/>
      <c r="C4" s="37"/>
      <c r="D4" s="37"/>
      <c r="E4" s="3"/>
      <c r="F4" s="15"/>
      <c r="G4" s="15"/>
      <c r="H4" s="15"/>
    </row>
    <row r="5" spans="1:8">
      <c r="A5" s="3"/>
      <c r="B5" s="3"/>
      <c r="C5" s="3"/>
      <c r="D5" s="3"/>
      <c r="E5" s="3"/>
      <c r="F5" s="15"/>
      <c r="G5" s="15"/>
      <c r="H5" s="15"/>
    </row>
    <row r="6" spans="1:8">
      <c r="A6" s="8" t="s">
        <v>3</v>
      </c>
      <c r="B6" s="9" t="s">
        <v>1269</v>
      </c>
      <c r="C6" s="10" t="s">
        <v>0</v>
      </c>
      <c r="D6" s="10" t="s">
        <v>1</v>
      </c>
      <c r="E6" s="11" t="s">
        <v>2</v>
      </c>
      <c r="F6" s="28" t="s">
        <v>1151</v>
      </c>
      <c r="G6" s="28" t="s">
        <v>1057</v>
      </c>
      <c r="H6" s="28" t="s">
        <v>1175</v>
      </c>
    </row>
    <row r="7" spans="1:8">
      <c r="A7" s="31"/>
      <c r="B7" s="4" t="s">
        <v>1176</v>
      </c>
      <c r="C7" s="32"/>
      <c r="D7" s="32"/>
      <c r="E7" s="33"/>
      <c r="F7" s="34"/>
      <c r="G7" s="34"/>
      <c r="H7" s="34"/>
    </row>
    <row r="8" spans="1:8">
      <c r="A8" t="s">
        <v>798</v>
      </c>
      <c r="B8" t="s">
        <v>1177</v>
      </c>
      <c r="C8" t="s">
        <v>176</v>
      </c>
      <c r="D8"/>
      <c r="E8" t="s">
        <v>1210</v>
      </c>
      <c r="F8" s="16">
        <v>19.489999999999998</v>
      </c>
      <c r="G8" s="16">
        <f>Table3[[#This Row],[Cost Price]]*1.25</f>
        <v>24.362499999999997</v>
      </c>
      <c r="H8" s="16">
        <f>Table3[[#This Row],[ORDER QTY]]*Table3[[#This Row],[Sale Price]]</f>
        <v>0</v>
      </c>
    </row>
    <row r="9" spans="1:8">
      <c r="A9" t="s">
        <v>799</v>
      </c>
      <c r="B9" t="s">
        <v>1178</v>
      </c>
      <c r="C9" t="s">
        <v>176</v>
      </c>
      <c r="D9"/>
      <c r="E9" t="s">
        <v>1211</v>
      </c>
      <c r="F9" s="16">
        <v>13.29</v>
      </c>
      <c r="G9" s="16">
        <f>Table3[[#This Row],[Cost Price]]*1.25</f>
        <v>16.612499999999997</v>
      </c>
      <c r="H9" s="16">
        <f>Table3[[#This Row],[ORDER QTY]]*Table3[[#This Row],[Sale Price]]</f>
        <v>0</v>
      </c>
    </row>
    <row r="10" spans="1:8">
      <c r="A10" t="s">
        <v>800</v>
      </c>
      <c r="B10" t="s">
        <v>1179</v>
      </c>
      <c r="C10" t="s">
        <v>176</v>
      </c>
      <c r="D10"/>
      <c r="E10" t="s">
        <v>1212</v>
      </c>
      <c r="F10" s="16">
        <v>10.79</v>
      </c>
      <c r="G10" s="16">
        <f>Table3[[#This Row],[Cost Price]]*1.25</f>
        <v>13.487499999999999</v>
      </c>
      <c r="H10" s="16">
        <f>Table3[[#This Row],[ORDER QTY]]*Table3[[#This Row],[Sale Price]]</f>
        <v>0</v>
      </c>
    </row>
    <row r="11" spans="1:8">
      <c r="A11" t="s">
        <v>801</v>
      </c>
      <c r="B11" s="5" t="s">
        <v>1180</v>
      </c>
      <c r="C11" t="s">
        <v>78</v>
      </c>
      <c r="D11"/>
      <c r="E11"/>
      <c r="F11" s="16">
        <v>85.99</v>
      </c>
      <c r="G11" s="16">
        <f>Table3[[#This Row],[Cost Price]]*1.25</f>
        <v>107.4875</v>
      </c>
      <c r="H11" s="16">
        <f>Table3[[#This Row],[ORDER QTY]]*Table3[[#This Row],[Sale Price]]</f>
        <v>0</v>
      </c>
    </row>
    <row r="12" spans="1:8">
      <c r="A12" t="s">
        <v>802</v>
      </c>
      <c r="B12" s="5" t="s">
        <v>1181</v>
      </c>
      <c r="C12" t="s">
        <v>294</v>
      </c>
      <c r="D12"/>
      <c r="E12"/>
      <c r="F12" s="16">
        <v>59.99</v>
      </c>
      <c r="G12" s="16">
        <f>Table3[[#This Row],[Cost Price]]*1.25</f>
        <v>74.987499999999997</v>
      </c>
      <c r="H12" s="16">
        <f>Table3[[#This Row],[ORDER QTY]]*Table3[[#This Row],[Sale Price]]</f>
        <v>0</v>
      </c>
    </row>
    <row r="13" spans="1:8">
      <c r="A13" t="s">
        <v>803</v>
      </c>
      <c r="B13" s="5" t="s">
        <v>1182</v>
      </c>
      <c r="C13" t="s">
        <v>1213</v>
      </c>
      <c r="D13"/>
      <c r="E13"/>
      <c r="F13" s="16">
        <v>39.99</v>
      </c>
      <c r="G13" s="16">
        <f>Table3[[#This Row],[Cost Price]]*1.25</f>
        <v>49.987500000000004</v>
      </c>
      <c r="H13" s="16">
        <f>Table3[[#This Row],[ORDER QTY]]*Table3[[#This Row],[Sale Price]]</f>
        <v>0</v>
      </c>
    </row>
    <row r="14" spans="1:8">
      <c r="A14" t="s">
        <v>804</v>
      </c>
      <c r="B14" s="5" t="s">
        <v>1183</v>
      </c>
      <c r="C14" t="s">
        <v>294</v>
      </c>
      <c r="D14"/>
      <c r="E14"/>
      <c r="F14" s="16">
        <v>43.99</v>
      </c>
      <c r="G14" s="16">
        <f>Table3[[#This Row],[Cost Price]]*1.25</f>
        <v>54.987500000000004</v>
      </c>
      <c r="H14" s="16">
        <f>Table3[[#This Row],[ORDER QTY]]*Table3[[#This Row],[Sale Price]]</f>
        <v>0</v>
      </c>
    </row>
    <row r="15" spans="1:8">
      <c r="A15" t="s">
        <v>805</v>
      </c>
      <c r="B15" s="5" t="s">
        <v>1184</v>
      </c>
      <c r="C15" t="s">
        <v>176</v>
      </c>
      <c r="D15"/>
      <c r="E15" t="s">
        <v>1214</v>
      </c>
      <c r="F15" s="16">
        <v>8.49</v>
      </c>
      <c r="G15" s="16">
        <f>Table3[[#This Row],[Cost Price]]*1.25</f>
        <v>10.612500000000001</v>
      </c>
      <c r="H15" s="16">
        <f>Table3[[#This Row],[ORDER QTY]]*Table3[[#This Row],[Sale Price]]</f>
        <v>0</v>
      </c>
    </row>
    <row r="16" spans="1:8">
      <c r="A16" t="s">
        <v>806</v>
      </c>
      <c r="B16" s="5" t="s">
        <v>1185</v>
      </c>
      <c r="C16" t="s">
        <v>176</v>
      </c>
      <c r="D16"/>
      <c r="E16" t="s">
        <v>1214</v>
      </c>
      <c r="F16" s="16">
        <v>12.29</v>
      </c>
      <c r="G16" s="16">
        <f>Table3[[#This Row],[Cost Price]]*1.25</f>
        <v>15.362499999999999</v>
      </c>
      <c r="H16" s="16">
        <f>Table3[[#This Row],[ORDER QTY]]*Table3[[#This Row],[Sale Price]]</f>
        <v>0</v>
      </c>
    </row>
    <row r="17" spans="1:8">
      <c r="A17" t="s">
        <v>807</v>
      </c>
      <c r="B17" s="5" t="s">
        <v>1186</v>
      </c>
      <c r="C17" t="s">
        <v>176</v>
      </c>
      <c r="D17"/>
      <c r="E17" t="s">
        <v>1215</v>
      </c>
      <c r="F17" s="16">
        <v>9.2899999999999991</v>
      </c>
      <c r="G17" s="16">
        <f>Table3[[#This Row],[Cost Price]]*1.25</f>
        <v>11.612499999999999</v>
      </c>
      <c r="H17" s="16">
        <f>Table3[[#This Row],[ORDER QTY]]*Table3[[#This Row],[Sale Price]]</f>
        <v>0</v>
      </c>
    </row>
    <row r="18" spans="1:8">
      <c r="A18" t="s">
        <v>808</v>
      </c>
      <c r="B18" s="5" t="s">
        <v>1187</v>
      </c>
      <c r="C18" t="s">
        <v>176</v>
      </c>
      <c r="D18"/>
      <c r="E18" t="s">
        <v>1216</v>
      </c>
      <c r="F18" s="16">
        <v>9.99</v>
      </c>
      <c r="G18" s="16">
        <f>Table3[[#This Row],[Cost Price]]*1.25</f>
        <v>12.487500000000001</v>
      </c>
      <c r="H18" s="16">
        <f>Table3[[#This Row],[ORDER QTY]]*Table3[[#This Row],[Sale Price]]</f>
        <v>0</v>
      </c>
    </row>
    <row r="19" spans="1:8">
      <c r="A19" s="29"/>
      <c r="B19" s="6" t="s">
        <v>1188</v>
      </c>
      <c r="C19" s="29"/>
      <c r="D19" s="29"/>
      <c r="E19" s="29"/>
      <c r="F19" s="30"/>
      <c r="G19" s="30"/>
      <c r="H19" s="30"/>
    </row>
    <row r="20" spans="1:8">
      <c r="A20" t="s">
        <v>809</v>
      </c>
      <c r="B20" t="s">
        <v>1189</v>
      </c>
      <c r="C20" t="s">
        <v>176</v>
      </c>
      <c r="D20"/>
      <c r="E20" t="s">
        <v>1217</v>
      </c>
      <c r="F20" s="16">
        <v>23.49</v>
      </c>
      <c r="G20" s="16">
        <f>Table3[[#This Row],[Cost Price]]*1.25</f>
        <v>29.362499999999997</v>
      </c>
      <c r="H20" s="16">
        <f>Table3[[#This Row],[ORDER QTY]]*Table3[[#This Row],[Sale Price]]</f>
        <v>0</v>
      </c>
    </row>
    <row r="21" spans="1:8">
      <c r="A21" t="s">
        <v>810</v>
      </c>
      <c r="B21" t="s">
        <v>1190</v>
      </c>
      <c r="C21" t="s">
        <v>176</v>
      </c>
      <c r="D21"/>
      <c r="E21" t="s">
        <v>1218</v>
      </c>
      <c r="F21" s="16">
        <v>18.489999999999998</v>
      </c>
      <c r="G21" s="16">
        <f>Table3[[#This Row],[Cost Price]]*1.25</f>
        <v>23.112499999999997</v>
      </c>
      <c r="H21" s="16">
        <f>Table3[[#This Row],[ORDER QTY]]*Table3[[#This Row],[Sale Price]]</f>
        <v>0</v>
      </c>
    </row>
    <row r="22" spans="1:8">
      <c r="A22" t="s">
        <v>811</v>
      </c>
      <c r="B22" s="5" t="s">
        <v>1191</v>
      </c>
      <c r="C22" t="s">
        <v>176</v>
      </c>
      <c r="D22"/>
      <c r="E22" t="s">
        <v>1214</v>
      </c>
      <c r="F22" s="16">
        <v>13.49</v>
      </c>
      <c r="G22" s="16">
        <f>Table3[[#This Row],[Cost Price]]*1.25</f>
        <v>16.862500000000001</v>
      </c>
      <c r="H22" s="16">
        <f>Table3[[#This Row],[ORDER QTY]]*Table3[[#This Row],[Sale Price]]</f>
        <v>0</v>
      </c>
    </row>
    <row r="23" spans="1:8">
      <c r="A23" t="s">
        <v>812</v>
      </c>
      <c r="B23" t="s">
        <v>1192</v>
      </c>
      <c r="C23" t="s">
        <v>176</v>
      </c>
      <c r="D23"/>
      <c r="E23" t="s">
        <v>1214</v>
      </c>
      <c r="F23" s="16">
        <v>14.99</v>
      </c>
      <c r="G23" s="16">
        <f>Table3[[#This Row],[Cost Price]]*1.25</f>
        <v>18.737500000000001</v>
      </c>
      <c r="H23" s="16">
        <f>Table3[[#This Row],[ORDER QTY]]*Table3[[#This Row],[Sale Price]]</f>
        <v>0</v>
      </c>
    </row>
    <row r="24" spans="1:8">
      <c r="A24" t="s">
        <v>813</v>
      </c>
      <c r="B24" t="s">
        <v>1259</v>
      </c>
      <c r="C24" t="s">
        <v>210</v>
      </c>
      <c r="D24"/>
      <c r="E24" t="s">
        <v>1219</v>
      </c>
      <c r="F24" s="16">
        <v>15.99</v>
      </c>
      <c r="G24" s="16">
        <f>Table3[[#This Row],[Cost Price]]*1.25</f>
        <v>19.987500000000001</v>
      </c>
      <c r="H24" s="16">
        <f>Table3[[#This Row],[ORDER QTY]]*Table3[[#This Row],[Sale Price]]</f>
        <v>0</v>
      </c>
    </row>
    <row r="25" spans="1:8">
      <c r="A25" s="29"/>
      <c r="B25" s="29" t="s">
        <v>1193</v>
      </c>
      <c r="C25" s="29"/>
      <c r="D25" s="29"/>
      <c r="E25" s="29"/>
      <c r="F25" s="30"/>
      <c r="G25" s="30"/>
      <c r="H25" s="30"/>
    </row>
    <row r="26" spans="1:8">
      <c r="A26" t="s">
        <v>814</v>
      </c>
      <c r="B26" s="7" t="s">
        <v>1194</v>
      </c>
      <c r="C26" t="s">
        <v>1221</v>
      </c>
      <c r="D26"/>
      <c r="E26" t="s">
        <v>1220</v>
      </c>
      <c r="F26" s="16">
        <v>38.99</v>
      </c>
      <c r="G26" s="16">
        <f>Table3[[#This Row],[Cost Price]]*1.25</f>
        <v>48.737500000000004</v>
      </c>
      <c r="H26" s="16">
        <f>Table3[[#This Row],[ORDER QTY]]*Table3[[#This Row],[Sale Price]]</f>
        <v>0</v>
      </c>
    </row>
    <row r="27" spans="1:8">
      <c r="A27" t="s">
        <v>816</v>
      </c>
      <c r="B27" s="7" t="s">
        <v>1222</v>
      </c>
      <c r="C27" t="s">
        <v>815</v>
      </c>
      <c r="D27"/>
      <c r="E27"/>
      <c r="F27" s="16">
        <v>54.99</v>
      </c>
      <c r="G27" s="16">
        <f>Table3[[#This Row],[Cost Price]]*1.25</f>
        <v>68.737499999999997</v>
      </c>
      <c r="H27" s="16">
        <f>Table3[[#This Row],[ORDER QTY]]*Table3[[#This Row],[Sale Price]]</f>
        <v>0</v>
      </c>
    </row>
    <row r="28" spans="1:8">
      <c r="A28" t="s">
        <v>817</v>
      </c>
      <c r="B28" s="7" t="s">
        <v>1195</v>
      </c>
      <c r="C28" t="s">
        <v>818</v>
      </c>
      <c r="D28"/>
      <c r="E28"/>
      <c r="F28" s="16">
        <v>55.99</v>
      </c>
      <c r="G28" s="16">
        <f>Table3[[#This Row],[Cost Price]]*1.25</f>
        <v>69.987499999999997</v>
      </c>
      <c r="H28" s="16">
        <f>Table3[[#This Row],[ORDER QTY]]*Table3[[#This Row],[Sale Price]]</f>
        <v>0</v>
      </c>
    </row>
    <row r="29" spans="1:8">
      <c r="A29" t="s">
        <v>819</v>
      </c>
      <c r="B29" s="7" t="s">
        <v>1196</v>
      </c>
      <c r="C29" t="s">
        <v>818</v>
      </c>
      <c r="D29"/>
      <c r="E29" t="s">
        <v>1223</v>
      </c>
      <c r="F29" s="16">
        <v>51.99</v>
      </c>
      <c r="G29" s="16">
        <f>Table3[[#This Row],[Cost Price]]*1.25</f>
        <v>64.987499999999997</v>
      </c>
      <c r="H29" s="16">
        <f>Table3[[#This Row],[ORDER QTY]]*Table3[[#This Row],[Sale Price]]</f>
        <v>0</v>
      </c>
    </row>
    <row r="30" spans="1:8">
      <c r="A30" t="s">
        <v>820</v>
      </c>
      <c r="B30" s="7" t="s">
        <v>1224</v>
      </c>
      <c r="C30" t="s">
        <v>78</v>
      </c>
      <c r="D30"/>
      <c r="E30"/>
      <c r="F30" s="16">
        <v>18.989999999999998</v>
      </c>
      <c r="G30" s="16">
        <f>Table3[[#This Row],[Cost Price]]*1.25</f>
        <v>23.737499999999997</v>
      </c>
      <c r="H30" s="16">
        <f>Table3[[#This Row],[ORDER QTY]]*Table3[[#This Row],[Sale Price]]</f>
        <v>0</v>
      </c>
    </row>
    <row r="31" spans="1:8">
      <c r="A31" t="s">
        <v>821</v>
      </c>
      <c r="B31" s="7" t="s">
        <v>1197</v>
      </c>
      <c r="C31" t="s">
        <v>818</v>
      </c>
      <c r="D31"/>
      <c r="E31"/>
      <c r="F31" s="16">
        <v>48.49</v>
      </c>
      <c r="G31" s="16">
        <f>Table3[[#This Row],[Cost Price]]*1.25</f>
        <v>60.612500000000004</v>
      </c>
      <c r="H31" s="16">
        <f>Table3[[#This Row],[ORDER QTY]]*Table3[[#This Row],[Sale Price]]</f>
        <v>0</v>
      </c>
    </row>
    <row r="32" spans="1:8">
      <c r="A32" t="s">
        <v>822</v>
      </c>
      <c r="B32" s="7" t="s">
        <v>1198</v>
      </c>
      <c r="C32" t="s">
        <v>818</v>
      </c>
      <c r="D32"/>
      <c r="E32"/>
      <c r="F32" s="16">
        <v>41.99</v>
      </c>
      <c r="G32" s="16">
        <f>Table3[[#This Row],[Cost Price]]*1.25</f>
        <v>52.487500000000004</v>
      </c>
      <c r="H32" s="16">
        <f>Table3[[#This Row],[ORDER QTY]]*Table3[[#This Row],[Sale Price]]</f>
        <v>0</v>
      </c>
    </row>
    <row r="33" spans="1:8">
      <c r="A33" t="s">
        <v>823</v>
      </c>
      <c r="B33" s="7" t="s">
        <v>1199</v>
      </c>
      <c r="C33" t="s">
        <v>818</v>
      </c>
      <c r="D33"/>
      <c r="E33"/>
      <c r="F33" s="16">
        <v>42.99</v>
      </c>
      <c r="G33" s="16">
        <f>Table3[[#This Row],[Cost Price]]*1.25</f>
        <v>53.737500000000004</v>
      </c>
      <c r="H33" s="16">
        <f>Table3[[#This Row],[ORDER QTY]]*Table3[[#This Row],[Sale Price]]</f>
        <v>0</v>
      </c>
    </row>
    <row r="34" spans="1:8">
      <c r="A34" t="s">
        <v>824</v>
      </c>
      <c r="B34" s="7" t="s">
        <v>1200</v>
      </c>
      <c r="C34" t="s">
        <v>818</v>
      </c>
      <c r="D34"/>
      <c r="E34"/>
      <c r="F34" s="16">
        <v>41.99</v>
      </c>
      <c r="G34" s="16">
        <f>Table3[[#This Row],[Cost Price]]*1.25</f>
        <v>52.487500000000004</v>
      </c>
      <c r="H34" s="16">
        <f>Table3[[#This Row],[ORDER QTY]]*Table3[[#This Row],[Sale Price]]</f>
        <v>0</v>
      </c>
    </row>
    <row r="35" spans="1:8">
      <c r="A35" t="s">
        <v>825</v>
      </c>
      <c r="B35" s="7" t="s">
        <v>1201</v>
      </c>
      <c r="C35" t="s">
        <v>78</v>
      </c>
      <c r="D35"/>
      <c r="E35"/>
      <c r="F35" s="16">
        <v>24.49</v>
      </c>
      <c r="G35" s="16">
        <f>Table3[[#This Row],[Cost Price]]*1.25</f>
        <v>30.612499999999997</v>
      </c>
      <c r="H35" s="16">
        <f>Table3[[#This Row],[ORDER QTY]]*Table3[[#This Row],[Sale Price]]</f>
        <v>0</v>
      </c>
    </row>
    <row r="36" spans="1:8">
      <c r="A36" t="s">
        <v>826</v>
      </c>
      <c r="B36" s="7" t="s">
        <v>1202</v>
      </c>
      <c r="C36" t="s">
        <v>1225</v>
      </c>
      <c r="D36"/>
      <c r="E36"/>
      <c r="F36" s="16">
        <v>16.489999999999998</v>
      </c>
      <c r="G36" s="16">
        <f>Table3[[#This Row],[Cost Price]]*1.25</f>
        <v>20.612499999999997</v>
      </c>
      <c r="H36" s="16">
        <f>Table3[[#This Row],[ORDER QTY]]*Table3[[#This Row],[Sale Price]]</f>
        <v>0</v>
      </c>
    </row>
    <row r="37" spans="1:8">
      <c r="A37" t="s">
        <v>827</v>
      </c>
      <c r="B37" s="5" t="s">
        <v>1203</v>
      </c>
      <c r="C37" t="s">
        <v>1226</v>
      </c>
      <c r="D37"/>
      <c r="E37"/>
      <c r="F37" s="16">
        <v>35.99</v>
      </c>
      <c r="G37" s="16">
        <f>Table3[[#This Row],[Cost Price]]*1.25</f>
        <v>44.987500000000004</v>
      </c>
      <c r="H37" s="16">
        <f>Table3[[#This Row],[ORDER QTY]]*Table3[[#This Row],[Sale Price]]</f>
        <v>0</v>
      </c>
    </row>
    <row r="38" spans="1:8">
      <c r="A38" t="s">
        <v>828</v>
      </c>
      <c r="B38" s="5" t="s">
        <v>1204</v>
      </c>
      <c r="C38" t="s">
        <v>78</v>
      </c>
      <c r="D38"/>
      <c r="E38"/>
      <c r="F38" s="16">
        <v>41.99</v>
      </c>
      <c r="G38" s="16">
        <f>Table3[[#This Row],[Cost Price]]*1.25</f>
        <v>52.487500000000004</v>
      </c>
      <c r="H38" s="16">
        <f>Table3[[#This Row],[ORDER QTY]]*Table3[[#This Row],[Sale Price]]</f>
        <v>0</v>
      </c>
    </row>
    <row r="39" spans="1:8">
      <c r="A39" t="s">
        <v>829</v>
      </c>
      <c r="B39" s="5" t="s">
        <v>1227</v>
      </c>
      <c r="C39" t="s">
        <v>78</v>
      </c>
      <c r="D39"/>
      <c r="E39"/>
      <c r="F39" s="16">
        <v>29.99</v>
      </c>
      <c r="G39" s="16">
        <f>Table3[[#This Row],[Cost Price]]*1.25</f>
        <v>37.487499999999997</v>
      </c>
      <c r="H39" s="16">
        <f>Table3[[#This Row],[ORDER QTY]]*Table3[[#This Row],[Sale Price]]</f>
        <v>0</v>
      </c>
    </row>
    <row r="40" spans="1:8">
      <c r="A40" t="s">
        <v>830</v>
      </c>
      <c r="B40" s="5" t="s">
        <v>1205</v>
      </c>
      <c r="C40" t="s">
        <v>78</v>
      </c>
      <c r="D40"/>
      <c r="E40"/>
      <c r="F40" s="16">
        <v>25.99</v>
      </c>
      <c r="G40" s="16">
        <f>Table3[[#This Row],[Cost Price]]*1.25</f>
        <v>32.487499999999997</v>
      </c>
      <c r="H40" s="16">
        <f>Table3[[#This Row],[ORDER QTY]]*Table3[[#This Row],[Sale Price]]</f>
        <v>0</v>
      </c>
    </row>
    <row r="41" spans="1:8">
      <c r="A41" t="s">
        <v>831</v>
      </c>
      <c r="B41" s="5" t="s">
        <v>1206</v>
      </c>
      <c r="C41" t="s">
        <v>78</v>
      </c>
      <c r="D41"/>
      <c r="E41"/>
      <c r="F41" s="16">
        <v>26.99</v>
      </c>
      <c r="G41" s="16">
        <f>Table3[[#This Row],[Cost Price]]*1.25</f>
        <v>33.737499999999997</v>
      </c>
      <c r="H41" s="16">
        <f>Table3[[#This Row],[ORDER QTY]]*Table3[[#This Row],[Sale Price]]</f>
        <v>0</v>
      </c>
    </row>
    <row r="42" spans="1:8">
      <c r="A42" t="s">
        <v>832</v>
      </c>
      <c r="B42" s="5" t="s">
        <v>1207</v>
      </c>
      <c r="C42" t="s">
        <v>78</v>
      </c>
      <c r="D42"/>
      <c r="E42"/>
      <c r="F42" s="16">
        <v>41.49</v>
      </c>
      <c r="G42" s="16">
        <f>Table3[[#This Row],[Cost Price]]*1.25</f>
        <v>51.862500000000004</v>
      </c>
      <c r="H42" s="16">
        <f>Table3[[#This Row],[ORDER QTY]]*Table3[[#This Row],[Sale Price]]</f>
        <v>0</v>
      </c>
    </row>
    <row r="43" spans="1:8">
      <c r="A43" t="s">
        <v>833</v>
      </c>
      <c r="B43" t="s">
        <v>834</v>
      </c>
      <c r="C43" t="s">
        <v>209</v>
      </c>
      <c r="D43"/>
      <c r="E43"/>
      <c r="F43" s="16">
        <v>12.99</v>
      </c>
      <c r="G43" s="16">
        <f>Table3[[#This Row],[Cost Price]]*1.25</f>
        <v>16.237500000000001</v>
      </c>
      <c r="H43" s="16">
        <f>Table3[[#This Row],[ORDER QTY]]*Table3[[#This Row],[Sale Price]]</f>
        <v>0</v>
      </c>
    </row>
    <row r="44" spans="1:8">
      <c r="A44" s="29"/>
      <c r="B44" s="29" t="s">
        <v>1208</v>
      </c>
      <c r="C44" s="29"/>
      <c r="D44" s="29"/>
      <c r="E44" s="29"/>
      <c r="F44" s="30"/>
      <c r="G44" s="30"/>
      <c r="H44" s="30"/>
    </row>
    <row r="45" spans="1:8">
      <c r="A45" t="s">
        <v>835</v>
      </c>
      <c r="B45" t="s">
        <v>870</v>
      </c>
      <c r="C45" t="s">
        <v>836</v>
      </c>
      <c r="D45"/>
      <c r="E45" t="s">
        <v>837</v>
      </c>
      <c r="F45" s="16">
        <v>265</v>
      </c>
      <c r="G45" s="16">
        <f>Table3[[#This Row],[Cost Price]]*1.25</f>
        <v>331.25</v>
      </c>
      <c r="H45" s="16">
        <f>Table3[[#This Row],[ORDER QTY]]*Table3[[#This Row],[Sale Price]]</f>
        <v>0</v>
      </c>
    </row>
    <row r="46" spans="1:8">
      <c r="A46" t="s">
        <v>838</v>
      </c>
      <c r="B46" t="s">
        <v>870</v>
      </c>
      <c r="C46" t="s">
        <v>836</v>
      </c>
      <c r="D46"/>
      <c r="E46" t="s">
        <v>839</v>
      </c>
      <c r="F46" s="16">
        <v>300.99</v>
      </c>
      <c r="G46" s="16">
        <f>Table3[[#This Row],[Cost Price]]*1.25</f>
        <v>376.23750000000001</v>
      </c>
      <c r="H46" s="16">
        <f>Table3[[#This Row],[ORDER QTY]]*Table3[[#This Row],[Sale Price]]</f>
        <v>0</v>
      </c>
    </row>
    <row r="47" spans="1:8">
      <c r="A47" t="s">
        <v>840</v>
      </c>
      <c r="B47" t="s">
        <v>870</v>
      </c>
      <c r="C47" t="s">
        <v>836</v>
      </c>
      <c r="D47"/>
      <c r="E47" t="s">
        <v>841</v>
      </c>
      <c r="F47" s="16">
        <v>292.99</v>
      </c>
      <c r="G47" s="16">
        <f>Table3[[#This Row],[Cost Price]]*1.25</f>
        <v>366.23750000000001</v>
      </c>
      <c r="H47" s="16">
        <f>Table3[[#This Row],[ORDER QTY]]*Table3[[#This Row],[Sale Price]]</f>
        <v>0</v>
      </c>
    </row>
    <row r="48" spans="1:8">
      <c r="A48" t="s">
        <v>843</v>
      </c>
      <c r="B48" t="s">
        <v>870</v>
      </c>
      <c r="C48" t="s">
        <v>836</v>
      </c>
      <c r="D48"/>
      <c r="E48" t="s">
        <v>842</v>
      </c>
      <c r="F48" s="16">
        <v>297.99</v>
      </c>
      <c r="G48" s="16">
        <f>Table3[[#This Row],[Cost Price]]*1.25</f>
        <v>372.48750000000001</v>
      </c>
      <c r="H48" s="16">
        <f>Table3[[#This Row],[ORDER QTY]]*Table3[[#This Row],[Sale Price]]</f>
        <v>0</v>
      </c>
    </row>
    <row r="49" spans="1:8">
      <c r="A49" t="s">
        <v>844</v>
      </c>
      <c r="B49" t="s">
        <v>871</v>
      </c>
      <c r="C49" t="s">
        <v>836</v>
      </c>
      <c r="D49"/>
      <c r="E49" t="s">
        <v>837</v>
      </c>
      <c r="F49" s="16">
        <v>272.99</v>
      </c>
      <c r="G49" s="16">
        <f>Table3[[#This Row],[Cost Price]]*1.25</f>
        <v>341.23750000000001</v>
      </c>
      <c r="H49" s="16">
        <f>Table3[[#This Row],[ORDER QTY]]*Table3[[#This Row],[Sale Price]]</f>
        <v>0</v>
      </c>
    </row>
    <row r="50" spans="1:8">
      <c r="A50" t="s">
        <v>845</v>
      </c>
      <c r="B50" t="s">
        <v>871</v>
      </c>
      <c r="C50" t="s">
        <v>836</v>
      </c>
      <c r="D50"/>
      <c r="E50" t="s">
        <v>846</v>
      </c>
      <c r="F50" s="16">
        <v>265.99</v>
      </c>
      <c r="G50" s="16">
        <f>Table3[[#This Row],[Cost Price]]*1.25</f>
        <v>332.48750000000001</v>
      </c>
      <c r="H50" s="16">
        <f>Table3[[#This Row],[ORDER QTY]]*Table3[[#This Row],[Sale Price]]</f>
        <v>0</v>
      </c>
    </row>
    <row r="51" spans="1:8">
      <c r="A51" t="s">
        <v>847</v>
      </c>
      <c r="B51" t="s">
        <v>871</v>
      </c>
      <c r="C51" t="s">
        <v>848</v>
      </c>
      <c r="D51"/>
      <c r="E51" t="s">
        <v>841</v>
      </c>
      <c r="F51" s="16">
        <v>296.99</v>
      </c>
      <c r="G51" s="16">
        <f>Table3[[#This Row],[Cost Price]]*1.25</f>
        <v>371.23750000000001</v>
      </c>
      <c r="H51" s="16">
        <f>Table3[[#This Row],[ORDER QTY]]*Table3[[#This Row],[Sale Price]]</f>
        <v>0</v>
      </c>
    </row>
    <row r="52" spans="1:8">
      <c r="A52" t="s">
        <v>849</v>
      </c>
      <c r="B52" t="s">
        <v>872</v>
      </c>
      <c r="C52" t="s">
        <v>850</v>
      </c>
      <c r="D52"/>
      <c r="E52" t="s">
        <v>837</v>
      </c>
      <c r="F52" s="16">
        <v>266.99</v>
      </c>
      <c r="G52" s="16">
        <f>Table3[[#This Row],[Cost Price]]*1.25</f>
        <v>333.73750000000001</v>
      </c>
      <c r="H52" s="16">
        <f>Table3[[#This Row],[ORDER QTY]]*Table3[[#This Row],[Sale Price]]</f>
        <v>0</v>
      </c>
    </row>
    <row r="53" spans="1:8">
      <c r="A53" t="s">
        <v>851</v>
      </c>
      <c r="B53" t="s">
        <v>872</v>
      </c>
      <c r="C53" t="s">
        <v>836</v>
      </c>
      <c r="D53"/>
      <c r="E53" t="s">
        <v>839</v>
      </c>
      <c r="F53" s="16">
        <v>290.99</v>
      </c>
      <c r="G53" s="16">
        <f>Table3[[#This Row],[Cost Price]]*1.25</f>
        <v>363.73750000000001</v>
      </c>
      <c r="H53" s="16">
        <f>Table3[[#This Row],[ORDER QTY]]*Table3[[#This Row],[Sale Price]]</f>
        <v>0</v>
      </c>
    </row>
    <row r="54" spans="1:8">
      <c r="A54" t="s">
        <v>852</v>
      </c>
      <c r="B54" t="s">
        <v>873</v>
      </c>
      <c r="C54" t="s">
        <v>850</v>
      </c>
      <c r="D54"/>
      <c r="E54" t="s">
        <v>837</v>
      </c>
      <c r="F54" s="16">
        <v>239.99</v>
      </c>
      <c r="G54" s="16">
        <f>Table3[[#This Row],[Cost Price]]*1.25</f>
        <v>299.98750000000001</v>
      </c>
      <c r="H54" s="16">
        <f>Table3[[#This Row],[ORDER QTY]]*Table3[[#This Row],[Sale Price]]</f>
        <v>0</v>
      </c>
    </row>
    <row r="55" spans="1:8">
      <c r="A55" t="s">
        <v>853</v>
      </c>
      <c r="B55" t="s">
        <v>873</v>
      </c>
      <c r="C55" t="s">
        <v>850</v>
      </c>
      <c r="D55"/>
      <c r="E55" t="s">
        <v>839</v>
      </c>
      <c r="F55" s="16">
        <v>232.99</v>
      </c>
      <c r="G55" s="16">
        <f>Table3[[#This Row],[Cost Price]]*1.25</f>
        <v>291.23750000000001</v>
      </c>
      <c r="H55" s="16">
        <f>Table3[[#This Row],[ORDER QTY]]*Table3[[#This Row],[Sale Price]]</f>
        <v>0</v>
      </c>
    </row>
    <row r="56" spans="1:8">
      <c r="A56" t="s">
        <v>854</v>
      </c>
      <c r="B56" t="s">
        <v>855</v>
      </c>
      <c r="C56" t="s">
        <v>176</v>
      </c>
      <c r="D56"/>
      <c r="E56" t="s">
        <v>1228</v>
      </c>
      <c r="F56" s="16">
        <v>17.29</v>
      </c>
      <c r="G56" s="16">
        <f>Table3[[#This Row],[Cost Price]]*1.25</f>
        <v>21.612499999999997</v>
      </c>
      <c r="H56" s="16">
        <f>Table3[[#This Row],[ORDER QTY]]*Table3[[#This Row],[Sale Price]]</f>
        <v>0</v>
      </c>
    </row>
    <row r="57" spans="1:8">
      <c r="A57" t="s">
        <v>857</v>
      </c>
      <c r="B57" t="s">
        <v>856</v>
      </c>
      <c r="C57" t="s">
        <v>176</v>
      </c>
      <c r="D57"/>
      <c r="E57" t="s">
        <v>1229</v>
      </c>
      <c r="F57" s="16">
        <v>16.989999999999998</v>
      </c>
      <c r="G57" s="16">
        <f>Table3[[#This Row],[Cost Price]]*1.25</f>
        <v>21.237499999999997</v>
      </c>
      <c r="H57" s="16">
        <f>Table3[[#This Row],[ORDER QTY]]*Table3[[#This Row],[Sale Price]]</f>
        <v>0</v>
      </c>
    </row>
    <row r="58" spans="1:8">
      <c r="A58" t="s">
        <v>858</v>
      </c>
      <c r="B58" t="s">
        <v>859</v>
      </c>
      <c r="C58" t="s">
        <v>199</v>
      </c>
      <c r="D58"/>
      <c r="E58" t="s">
        <v>1230</v>
      </c>
      <c r="F58" s="16">
        <v>29.99</v>
      </c>
      <c r="G58" s="16">
        <f>Table3[[#This Row],[Cost Price]]*1.25</f>
        <v>37.487499999999997</v>
      </c>
      <c r="H58" s="16">
        <f>Table3[[#This Row],[ORDER QTY]]*Table3[[#This Row],[Sale Price]]</f>
        <v>0</v>
      </c>
    </row>
    <row r="59" spans="1:8">
      <c r="A59" t="s">
        <v>860</v>
      </c>
      <c r="B59" t="s">
        <v>861</v>
      </c>
      <c r="C59" t="s">
        <v>199</v>
      </c>
      <c r="D59"/>
      <c r="E59" t="s">
        <v>862</v>
      </c>
      <c r="F59" s="16">
        <v>42.99</v>
      </c>
      <c r="G59" s="16">
        <f>Table3[[#This Row],[Cost Price]]*1.25</f>
        <v>53.737500000000004</v>
      </c>
      <c r="H59" s="16">
        <f>Table3[[#This Row],[ORDER QTY]]*Table3[[#This Row],[Sale Price]]</f>
        <v>0</v>
      </c>
    </row>
    <row r="60" spans="1:8">
      <c r="A60" t="s">
        <v>863</v>
      </c>
      <c r="B60" t="s">
        <v>864</v>
      </c>
      <c r="C60" t="s">
        <v>865</v>
      </c>
      <c r="D60"/>
      <c r="E60" t="s">
        <v>1231</v>
      </c>
      <c r="F60" s="16">
        <v>28.49</v>
      </c>
      <c r="G60" s="16">
        <f>Table3[[#This Row],[Cost Price]]*1.25</f>
        <v>35.612499999999997</v>
      </c>
      <c r="H60" s="16">
        <f>Table3[[#This Row],[ORDER QTY]]*Table3[[#This Row],[Sale Price]]</f>
        <v>0</v>
      </c>
    </row>
    <row r="61" spans="1:8">
      <c r="A61" t="s">
        <v>866</v>
      </c>
      <c r="B61" t="s">
        <v>867</v>
      </c>
      <c r="C61" t="s">
        <v>868</v>
      </c>
      <c r="D61"/>
      <c r="E61" t="s">
        <v>869</v>
      </c>
      <c r="F61" s="16">
        <v>20.99</v>
      </c>
      <c r="G61" s="16">
        <f>Table3[[#This Row],[Cost Price]]*1.25</f>
        <v>26.237499999999997</v>
      </c>
      <c r="H61" s="16">
        <f>Table3[[#This Row],[ORDER QTY]]*Table3[[#This Row],[Sale Price]]</f>
        <v>0</v>
      </c>
    </row>
    <row r="62" spans="1:8">
      <c r="A62" t="s">
        <v>874</v>
      </c>
      <c r="B62" t="s">
        <v>1209</v>
      </c>
      <c r="C62" t="s">
        <v>875</v>
      </c>
      <c r="D62"/>
      <c r="E62"/>
      <c r="F62" s="16">
        <v>17.489999999999998</v>
      </c>
      <c r="G62" s="16">
        <f>Table3[[#This Row],[Cost Price]]*1.25</f>
        <v>21.862499999999997</v>
      </c>
      <c r="H62" s="16">
        <f>Table3[[#This Row],[ORDER QTY]]*Table3[[#This Row],[Sale Price]]</f>
        <v>0</v>
      </c>
    </row>
    <row r="63" spans="1:8">
      <c r="A63" t="s">
        <v>876</v>
      </c>
      <c r="B63" t="s">
        <v>877</v>
      </c>
      <c r="C63" t="s">
        <v>78</v>
      </c>
      <c r="D63"/>
      <c r="E63" t="s">
        <v>1232</v>
      </c>
      <c r="F63" s="16">
        <v>27.49</v>
      </c>
      <c r="G63" s="16">
        <f>Table3[[#This Row],[Cost Price]]*1.25</f>
        <v>34.362499999999997</v>
      </c>
      <c r="H63" s="16">
        <f>Table3[[#This Row],[ORDER QTY]]*Table3[[#This Row],[Sale Price]]</f>
        <v>0</v>
      </c>
    </row>
    <row r="64" spans="1:8">
      <c r="A64" t="s">
        <v>878</v>
      </c>
      <c r="B64" t="s">
        <v>879</v>
      </c>
      <c r="C64" t="s">
        <v>78</v>
      </c>
      <c r="D64"/>
      <c r="E64" t="s">
        <v>1232</v>
      </c>
      <c r="F64" s="16">
        <v>26.99</v>
      </c>
      <c r="G64" s="16">
        <f>Table3[[#This Row],[Cost Price]]*1.25</f>
        <v>33.737499999999997</v>
      </c>
      <c r="H64" s="16">
        <f>Table3[[#This Row],[ORDER QTY]]*Table3[[#This Row],[Sale Price]]</f>
        <v>0</v>
      </c>
    </row>
    <row r="65" spans="1:8">
      <c r="A65" t="s">
        <v>880</v>
      </c>
      <c r="B65" t="s">
        <v>881</v>
      </c>
      <c r="C65" t="s">
        <v>176</v>
      </c>
      <c r="D65"/>
      <c r="E65" t="s">
        <v>1233</v>
      </c>
      <c r="F65" s="16">
        <v>18.989999999999998</v>
      </c>
      <c r="G65" s="16">
        <f>Table3[[#This Row],[Cost Price]]*1.25</f>
        <v>23.737499999999997</v>
      </c>
      <c r="H65" s="16">
        <f>Table3[[#This Row],[ORDER QTY]]*Table3[[#This Row],[Sale Price]]</f>
        <v>0</v>
      </c>
    </row>
    <row r="66" spans="1:8">
      <c r="A66" t="s">
        <v>882</v>
      </c>
      <c r="B66" t="s">
        <v>883</v>
      </c>
      <c r="C66" t="s">
        <v>176</v>
      </c>
      <c r="D66"/>
      <c r="E66" t="s">
        <v>1234</v>
      </c>
      <c r="F66" s="16">
        <v>24.49</v>
      </c>
      <c r="G66" s="16">
        <f>Table3[[#This Row],[Cost Price]]*1.25</f>
        <v>30.612499999999997</v>
      </c>
      <c r="H66" s="16">
        <f>Table3[[#This Row],[ORDER QTY]]*Table3[[#This Row],[Sale Price]]</f>
        <v>0</v>
      </c>
    </row>
    <row r="67" spans="1:8">
      <c r="A67" t="s">
        <v>884</v>
      </c>
      <c r="B67" t="s">
        <v>885</v>
      </c>
      <c r="C67" t="s">
        <v>176</v>
      </c>
      <c r="D67"/>
      <c r="E67"/>
      <c r="F67" s="16">
        <v>6.99</v>
      </c>
      <c r="G67" s="16">
        <f>Table3[[#This Row],[Cost Price]]*1.25</f>
        <v>8.7375000000000007</v>
      </c>
      <c r="H67" s="16">
        <f>Table3[[#This Row],[ORDER QTY]]*Table3[[#This Row],[Sale Price]]</f>
        <v>0</v>
      </c>
    </row>
    <row r="68" spans="1:8">
      <c r="A68"/>
      <c r="B68" t="s">
        <v>1235</v>
      </c>
      <c r="C68" t="s">
        <v>176</v>
      </c>
      <c r="D68"/>
      <c r="E68"/>
      <c r="F68" s="16">
        <v>26.79</v>
      </c>
      <c r="G68" s="16">
        <f>Table3[[#This Row],[Cost Price]]*1.25</f>
        <v>33.487499999999997</v>
      </c>
      <c r="H68" s="16">
        <f>Table3[[#This Row],[ORDER QTY]]*Table3[[#This Row],[Sale Price]]</f>
        <v>0</v>
      </c>
    </row>
    <row r="69" spans="1:8">
      <c r="A69" t="s">
        <v>886</v>
      </c>
      <c r="B69" t="s">
        <v>887</v>
      </c>
      <c r="C69" t="s">
        <v>176</v>
      </c>
      <c r="D69"/>
      <c r="E69"/>
      <c r="F69" s="16">
        <v>38.99</v>
      </c>
      <c r="G69" s="16">
        <f>Table3[[#This Row],[Cost Price]]*1.25</f>
        <v>48.737500000000004</v>
      </c>
      <c r="H69" s="16">
        <f>Table3[[#This Row],[ORDER QTY]]*Table3[[#This Row],[Sale Price]]</f>
        <v>0</v>
      </c>
    </row>
    <row r="70" spans="1:8">
      <c r="A70" t="s">
        <v>888</v>
      </c>
      <c r="B70" t="s">
        <v>889</v>
      </c>
      <c r="C70" t="s">
        <v>176</v>
      </c>
      <c r="D70"/>
      <c r="E70" t="s">
        <v>1236</v>
      </c>
      <c r="F70" s="16">
        <v>5.39</v>
      </c>
      <c r="G70" s="16">
        <f>Table3[[#This Row],[Cost Price]]*1.25</f>
        <v>6.7374999999999998</v>
      </c>
      <c r="H70" s="16">
        <f>Table3[[#This Row],[ORDER QTY]]*Table3[[#This Row],[Sale Price]]</f>
        <v>0</v>
      </c>
    </row>
    <row r="71" spans="1:8">
      <c r="A71" t="s">
        <v>892</v>
      </c>
      <c r="B71" t="s">
        <v>890</v>
      </c>
      <c r="C71" t="s">
        <v>891</v>
      </c>
      <c r="D71"/>
      <c r="E71"/>
      <c r="F71" s="16">
        <v>87.99</v>
      </c>
      <c r="G71" s="16">
        <f>Table3[[#This Row],[Cost Price]]*1.25</f>
        <v>109.9875</v>
      </c>
      <c r="H71" s="16">
        <f>Table3[[#This Row],[ORDER QTY]]*Table3[[#This Row],[Sale Price]]</f>
        <v>0</v>
      </c>
    </row>
    <row r="72" spans="1:8">
      <c r="A72" t="s">
        <v>894</v>
      </c>
      <c r="B72" t="s">
        <v>893</v>
      </c>
      <c r="C72" t="s">
        <v>891</v>
      </c>
      <c r="D72"/>
      <c r="E72"/>
      <c r="F72" s="16">
        <v>62.99</v>
      </c>
      <c r="G72" s="16">
        <f>Table3[[#This Row],[Cost Price]]*1.25</f>
        <v>78.737499999999997</v>
      </c>
      <c r="H72" s="16">
        <f>Table3[[#This Row],[ORDER QTY]]*Table3[[#This Row],[Sale Price]]</f>
        <v>0</v>
      </c>
    </row>
    <row r="73" spans="1:8">
      <c r="A73" t="s">
        <v>895</v>
      </c>
      <c r="B73" t="s">
        <v>896</v>
      </c>
      <c r="C73" t="s">
        <v>176</v>
      </c>
      <c r="D73"/>
      <c r="E73"/>
      <c r="F73" s="16">
        <v>7.99</v>
      </c>
      <c r="G73" s="16">
        <f>Table3[[#This Row],[Cost Price]]*1.25</f>
        <v>9.9875000000000007</v>
      </c>
      <c r="H73" s="16">
        <f>Table3[[#This Row],[ORDER QTY]]*Table3[[#This Row],[Sale Price]]</f>
        <v>0</v>
      </c>
    </row>
    <row r="74" spans="1:8">
      <c r="A74"/>
      <c r="B74"/>
      <c r="C74"/>
      <c r="D74"/>
      <c r="E74"/>
      <c r="F74" s="16"/>
      <c r="G74" s="16">
        <f>Table3[[#This Row],[Cost Price]]*1.25</f>
        <v>0</v>
      </c>
      <c r="H74" s="16">
        <f>Table3[[#This Row],[ORDER QTY]]*Table3[[#This Row],[Sale Price]]</f>
        <v>0</v>
      </c>
    </row>
    <row r="76" spans="1:8">
      <c r="A76" s="39" t="s">
        <v>1016</v>
      </c>
      <c r="B76" s="39"/>
      <c r="C76" s="39"/>
    </row>
    <row r="77" spans="1:8">
      <c r="A77" s="39"/>
      <c r="B77" s="39"/>
      <c r="C77" s="39"/>
    </row>
    <row r="78" spans="1:8">
      <c r="A78" s="2" t="s">
        <v>654</v>
      </c>
      <c r="B78" s="2" t="s">
        <v>655</v>
      </c>
      <c r="C78" s="2" t="s">
        <v>0</v>
      </c>
      <c r="D78" s="2" t="s">
        <v>1</v>
      </c>
      <c r="E78" s="2" t="s">
        <v>2</v>
      </c>
    </row>
  </sheetData>
  <mergeCells count="2">
    <mergeCell ref="B1:D4"/>
    <mergeCell ref="A76:C77"/>
  </mergeCells>
  <phoneticPr fontId="8" type="noConversion"/>
  <pageMargins left="0.7" right="0.7" top="0.75" bottom="0.75" header="0.3" footer="0.3"/>
  <pageSetup paperSize="9" orientation="portrait" horizontalDpi="1200" verticalDpi="1200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39997558519241921"/>
  </sheetPr>
  <dimension ref="A1:H68"/>
  <sheetViews>
    <sheetView workbookViewId="0">
      <selection activeCell="B6" sqref="B6"/>
    </sheetView>
  </sheetViews>
  <sheetFormatPr defaultColWidth="27.77734375" defaultRowHeight="14.4"/>
  <cols>
    <col min="1" max="1" width="12.77734375" customWidth="1"/>
    <col min="3" max="3" width="12.77734375" customWidth="1"/>
    <col min="4" max="4" width="15.77734375" customWidth="1"/>
    <col min="6" max="6" width="27.77734375" style="16" customWidth="1"/>
    <col min="7" max="8" width="27.77734375" style="16"/>
  </cols>
  <sheetData>
    <row r="1" spans="1:8" ht="15" customHeight="1">
      <c r="A1" s="3"/>
      <c r="B1" s="40" t="s">
        <v>1260</v>
      </c>
      <c r="C1" s="40"/>
      <c r="D1" s="40"/>
      <c r="E1" s="3"/>
      <c r="F1" s="15"/>
      <c r="G1" s="15"/>
      <c r="H1" s="15"/>
    </row>
    <row r="2" spans="1:8" ht="15" customHeight="1">
      <c r="A2" s="3"/>
      <c r="B2" s="40"/>
      <c r="C2" s="40"/>
      <c r="D2" s="40"/>
      <c r="E2" s="3"/>
      <c r="F2" s="15"/>
      <c r="G2" s="15"/>
      <c r="H2" s="15"/>
    </row>
    <row r="3" spans="1:8" ht="15" customHeight="1">
      <c r="A3" s="3"/>
      <c r="B3" s="40"/>
      <c r="C3" s="40"/>
      <c r="D3" s="40"/>
      <c r="E3" s="3"/>
      <c r="F3" s="15"/>
      <c r="G3" s="15"/>
      <c r="H3" s="15"/>
    </row>
    <row r="4" spans="1:8" ht="15" customHeight="1">
      <c r="A4" s="3"/>
      <c r="B4" s="40"/>
      <c r="C4" s="40"/>
      <c r="D4" s="40"/>
      <c r="E4" s="3"/>
      <c r="F4" s="15"/>
      <c r="G4" s="15"/>
      <c r="H4" s="15"/>
    </row>
    <row r="5" spans="1:8">
      <c r="A5" s="3"/>
      <c r="B5" s="3"/>
      <c r="C5" s="3"/>
      <c r="D5" s="3"/>
      <c r="E5" s="3"/>
      <c r="F5" s="15"/>
      <c r="G5" s="15"/>
      <c r="H5" s="15"/>
    </row>
    <row r="6" spans="1:8">
      <c r="A6" s="12" t="s">
        <v>654</v>
      </c>
      <c r="B6" s="13" t="s">
        <v>1269</v>
      </c>
      <c r="C6" s="13" t="s">
        <v>0</v>
      </c>
      <c r="D6" s="13" t="s">
        <v>1</v>
      </c>
      <c r="E6" s="14" t="s">
        <v>2</v>
      </c>
      <c r="F6" s="26" t="s">
        <v>1151</v>
      </c>
      <c r="G6" s="26" t="s">
        <v>1057</v>
      </c>
      <c r="H6" s="26" t="s">
        <v>1175</v>
      </c>
    </row>
    <row r="7" spans="1:8">
      <c r="A7" s="31"/>
      <c r="B7" s="32" t="s">
        <v>797</v>
      </c>
      <c r="C7" s="32"/>
      <c r="D7" s="32"/>
      <c r="E7" s="33"/>
      <c r="F7" s="34"/>
      <c r="G7" s="34"/>
      <c r="H7" s="34"/>
    </row>
    <row r="8" spans="1:8">
      <c r="A8" t="s">
        <v>897</v>
      </c>
      <c r="B8" t="s">
        <v>899</v>
      </c>
      <c r="C8" t="s">
        <v>1237</v>
      </c>
      <c r="E8" t="s">
        <v>1238</v>
      </c>
      <c r="F8" s="16">
        <v>13.99</v>
      </c>
      <c r="G8" s="16">
        <f>Table5[[#This Row],[Cost Price]]*1.25</f>
        <v>17.487500000000001</v>
      </c>
      <c r="H8" s="16">
        <f>Table5[[#This Row],[ORDER QTY]]*Table5[[#This Row],[Sale Price]]</f>
        <v>0</v>
      </c>
    </row>
    <row r="9" spans="1:8">
      <c r="A9" t="s">
        <v>898</v>
      </c>
      <c r="B9" t="s">
        <v>900</v>
      </c>
      <c r="C9" t="s">
        <v>1239</v>
      </c>
      <c r="E9" t="s">
        <v>1240</v>
      </c>
      <c r="F9" s="16">
        <v>14.99</v>
      </c>
      <c r="G9" s="16">
        <f>Table5[[#This Row],[Cost Price]]*1.25</f>
        <v>18.737500000000001</v>
      </c>
      <c r="H9" s="16">
        <f>Table5[[#This Row],[ORDER QTY]]*Table5[[#This Row],[Sale Price]]</f>
        <v>0</v>
      </c>
    </row>
    <row r="10" spans="1:8">
      <c r="A10" t="s">
        <v>901</v>
      </c>
      <c r="B10" t="s">
        <v>902</v>
      </c>
      <c r="C10" t="s">
        <v>1241</v>
      </c>
      <c r="F10" s="16">
        <v>12.99</v>
      </c>
      <c r="G10" s="16">
        <f>Table5[[#This Row],[Cost Price]]*1.25</f>
        <v>16.237500000000001</v>
      </c>
      <c r="H10" s="16">
        <f>Table5[[#This Row],[ORDER QTY]]*Table5[[#This Row],[Sale Price]]</f>
        <v>0</v>
      </c>
    </row>
    <row r="11" spans="1:8">
      <c r="A11" t="s">
        <v>903</v>
      </c>
      <c r="B11" t="s">
        <v>902</v>
      </c>
      <c r="C11" t="s">
        <v>166</v>
      </c>
      <c r="E11" t="s">
        <v>1242</v>
      </c>
      <c r="F11" s="16">
        <v>19.989999999999998</v>
      </c>
      <c r="G11" s="16">
        <f>Table5[[#This Row],[Cost Price]]*1.25</f>
        <v>24.987499999999997</v>
      </c>
      <c r="H11" s="16">
        <f>Table5[[#This Row],[ORDER QTY]]*Table5[[#This Row],[Sale Price]]</f>
        <v>0</v>
      </c>
    </row>
    <row r="12" spans="1:8">
      <c r="A12" t="s">
        <v>904</v>
      </c>
      <c r="B12" t="s">
        <v>905</v>
      </c>
      <c r="C12" t="s">
        <v>168</v>
      </c>
      <c r="F12" s="16">
        <v>20.49</v>
      </c>
      <c r="G12" s="16">
        <f>Table5[[#This Row],[Cost Price]]*1.25</f>
        <v>25.612499999999997</v>
      </c>
      <c r="H12" s="16">
        <f>Table5[[#This Row],[ORDER QTY]]*Table5[[#This Row],[Sale Price]]</f>
        <v>0</v>
      </c>
    </row>
    <row r="13" spans="1:8">
      <c r="A13" t="s">
        <v>906</v>
      </c>
      <c r="B13" t="s">
        <v>907</v>
      </c>
      <c r="C13" t="s">
        <v>119</v>
      </c>
      <c r="F13" s="16">
        <v>11.49</v>
      </c>
      <c r="G13" s="16">
        <f>Table5[[#This Row],[Cost Price]]*1.25</f>
        <v>14.362500000000001</v>
      </c>
      <c r="H13" s="16">
        <f>Table5[[#This Row],[ORDER QTY]]*Table5[[#This Row],[Sale Price]]</f>
        <v>0</v>
      </c>
    </row>
    <row r="14" spans="1:8">
      <c r="A14" t="s">
        <v>908</v>
      </c>
      <c r="B14" t="s">
        <v>1243</v>
      </c>
      <c r="C14" t="s">
        <v>1244</v>
      </c>
      <c r="F14" s="16">
        <v>21.79</v>
      </c>
      <c r="G14" s="16">
        <f>Table5[[#This Row],[Cost Price]]*1.25</f>
        <v>27.237499999999997</v>
      </c>
      <c r="H14" s="16">
        <f>Table5[[#This Row],[ORDER QTY]]*Table5[[#This Row],[Sale Price]]</f>
        <v>0</v>
      </c>
    </row>
    <row r="15" spans="1:8">
      <c r="A15" t="s">
        <v>909</v>
      </c>
      <c r="B15" t="s">
        <v>910</v>
      </c>
      <c r="C15" t="s">
        <v>97</v>
      </c>
      <c r="F15" s="16">
        <v>16.989999999999998</v>
      </c>
      <c r="G15" s="16">
        <f>Table5[[#This Row],[Cost Price]]*1.25</f>
        <v>21.237499999999997</v>
      </c>
      <c r="H15" s="16">
        <f>Table5[[#This Row],[ORDER QTY]]*Table5[[#This Row],[Sale Price]]</f>
        <v>0</v>
      </c>
    </row>
    <row r="16" spans="1:8">
      <c r="A16" t="s">
        <v>911</v>
      </c>
      <c r="B16" t="s">
        <v>912</v>
      </c>
      <c r="C16" t="s">
        <v>170</v>
      </c>
      <c r="F16" s="16">
        <v>14.99</v>
      </c>
      <c r="G16" s="16">
        <f>Table5[[#This Row],[Cost Price]]*1.25</f>
        <v>18.737500000000001</v>
      </c>
      <c r="H16" s="16">
        <f>Table5[[#This Row],[ORDER QTY]]*Table5[[#This Row],[Sale Price]]</f>
        <v>0</v>
      </c>
    </row>
    <row r="17" spans="1:8">
      <c r="A17" t="s">
        <v>913</v>
      </c>
      <c r="B17" t="s">
        <v>914</v>
      </c>
      <c r="C17" t="s">
        <v>1245</v>
      </c>
      <c r="F17" s="16">
        <v>15.49</v>
      </c>
      <c r="G17" s="16">
        <f>Table5[[#This Row],[Cost Price]]*1.25</f>
        <v>19.362500000000001</v>
      </c>
      <c r="H17" s="16">
        <f>Table5[[#This Row],[ORDER QTY]]*Table5[[#This Row],[Sale Price]]</f>
        <v>0</v>
      </c>
    </row>
    <row r="18" spans="1:8">
      <c r="A18" t="s">
        <v>915</v>
      </c>
      <c r="B18" t="s">
        <v>916</v>
      </c>
      <c r="C18" t="s">
        <v>119</v>
      </c>
      <c r="F18" s="16">
        <v>12.99</v>
      </c>
      <c r="G18" s="16">
        <f>Table5[[#This Row],[Cost Price]]*1.25</f>
        <v>16.237500000000001</v>
      </c>
      <c r="H18" s="16">
        <f>Table5[[#This Row],[ORDER QTY]]*Table5[[#This Row],[Sale Price]]</f>
        <v>0</v>
      </c>
    </row>
    <row r="19" spans="1:8">
      <c r="A19" t="s">
        <v>1008</v>
      </c>
      <c r="B19" t="s">
        <v>1009</v>
      </c>
      <c r="C19" t="s">
        <v>170</v>
      </c>
      <c r="F19" s="16">
        <v>8.99</v>
      </c>
      <c r="G19" s="16">
        <f>Table5[[#This Row],[Cost Price]]*1.25</f>
        <v>11.237500000000001</v>
      </c>
      <c r="H19" s="16">
        <f>Table5[[#This Row],[ORDER QTY]]*Table5[[#This Row],[Sale Price]]</f>
        <v>0</v>
      </c>
    </row>
    <row r="20" spans="1:8">
      <c r="A20" t="s">
        <v>1010</v>
      </c>
      <c r="B20" t="s">
        <v>1009</v>
      </c>
      <c r="C20" t="s">
        <v>166</v>
      </c>
      <c r="F20" s="16">
        <v>16.989999999999998</v>
      </c>
      <c r="G20" s="16">
        <f>Table5[[#This Row],[Cost Price]]*1.25</f>
        <v>21.237499999999997</v>
      </c>
      <c r="H20" s="16">
        <f>Table5[[#This Row],[ORDER QTY]]*Table5[[#This Row],[Sale Price]]</f>
        <v>0</v>
      </c>
    </row>
    <row r="21" spans="1:8">
      <c r="A21" t="s">
        <v>1011</v>
      </c>
      <c r="B21" t="s">
        <v>1012</v>
      </c>
      <c r="C21" t="s">
        <v>170</v>
      </c>
      <c r="F21" s="16">
        <v>10.99</v>
      </c>
      <c r="G21" s="16">
        <f>Table5[[#This Row],[Cost Price]]*1.25</f>
        <v>13.737500000000001</v>
      </c>
      <c r="H21" s="16">
        <f>Table5[[#This Row],[ORDER QTY]]*Table5[[#This Row],[Sale Price]]</f>
        <v>0</v>
      </c>
    </row>
    <row r="22" spans="1:8">
      <c r="A22" t="s">
        <v>917</v>
      </c>
      <c r="B22" t="s">
        <v>1048</v>
      </c>
      <c r="C22" t="s">
        <v>918</v>
      </c>
      <c r="F22" s="16">
        <v>15.49</v>
      </c>
      <c r="G22" s="16">
        <f>Table5[[#This Row],[Cost Price]]*1.25</f>
        <v>19.362500000000001</v>
      </c>
      <c r="H22" s="16">
        <f>Table5[[#This Row],[ORDER QTY]]*Table5[[#This Row],[Sale Price]]</f>
        <v>0</v>
      </c>
    </row>
    <row r="23" spans="1:8">
      <c r="A23" t="s">
        <v>919</v>
      </c>
      <c r="B23" t="s">
        <v>920</v>
      </c>
      <c r="C23" t="s">
        <v>166</v>
      </c>
      <c r="F23" s="16">
        <v>25.99</v>
      </c>
      <c r="G23" s="16">
        <f>Table5[[#This Row],[Cost Price]]*1.25</f>
        <v>32.487499999999997</v>
      </c>
      <c r="H23" s="16">
        <f>Table5[[#This Row],[ORDER QTY]]*Table5[[#This Row],[Sale Price]]</f>
        <v>0</v>
      </c>
    </row>
    <row r="24" spans="1:8">
      <c r="A24" t="s">
        <v>921</v>
      </c>
      <c r="B24" t="s">
        <v>922</v>
      </c>
      <c r="C24" t="s">
        <v>170</v>
      </c>
      <c r="F24" s="16">
        <v>13.99</v>
      </c>
      <c r="G24" s="16">
        <f>Table5[[#This Row],[Cost Price]]*1.25</f>
        <v>17.487500000000001</v>
      </c>
      <c r="H24" s="16">
        <f>Table5[[#This Row],[ORDER QTY]]*Table5[[#This Row],[Sale Price]]</f>
        <v>0</v>
      </c>
    </row>
    <row r="25" spans="1:8">
      <c r="A25" t="s">
        <v>923</v>
      </c>
      <c r="B25" t="s">
        <v>924</v>
      </c>
      <c r="C25" t="s">
        <v>166</v>
      </c>
      <c r="F25" s="16">
        <v>25.99</v>
      </c>
      <c r="G25" s="16">
        <f>Table5[[#This Row],[Cost Price]]*1.25</f>
        <v>32.487499999999997</v>
      </c>
      <c r="H25" s="16">
        <f>Table5[[#This Row],[ORDER QTY]]*Table5[[#This Row],[Sale Price]]</f>
        <v>0</v>
      </c>
    </row>
    <row r="26" spans="1:8">
      <c r="A26" t="s">
        <v>925</v>
      </c>
      <c r="B26" t="s">
        <v>926</v>
      </c>
      <c r="C26" t="s">
        <v>119</v>
      </c>
      <c r="F26" s="16">
        <v>17.489999999999998</v>
      </c>
      <c r="G26" s="16">
        <f>Table5[[#This Row],[Cost Price]]*1.25</f>
        <v>21.862499999999997</v>
      </c>
      <c r="H26" s="16">
        <f>Table5[[#This Row],[ORDER QTY]]*Table5[[#This Row],[Sale Price]]</f>
        <v>0</v>
      </c>
    </row>
    <row r="27" spans="1:8">
      <c r="A27" t="s">
        <v>927</v>
      </c>
      <c r="B27" t="s">
        <v>928</v>
      </c>
      <c r="C27" t="s">
        <v>119</v>
      </c>
      <c r="F27" s="16">
        <v>12.99</v>
      </c>
      <c r="G27" s="16">
        <f>Table5[[#This Row],[Cost Price]]*1.25</f>
        <v>16.237500000000001</v>
      </c>
      <c r="H27" s="16">
        <f>Table5[[#This Row],[ORDER QTY]]*Table5[[#This Row],[Sale Price]]</f>
        <v>0</v>
      </c>
    </row>
    <row r="28" spans="1:8">
      <c r="A28" t="s">
        <v>929</v>
      </c>
      <c r="B28" t="s">
        <v>930</v>
      </c>
      <c r="C28" t="s">
        <v>170</v>
      </c>
      <c r="F28" s="16">
        <v>12.99</v>
      </c>
      <c r="G28" s="16">
        <f>Table5[[#This Row],[Cost Price]]*1.25</f>
        <v>16.237500000000001</v>
      </c>
      <c r="H28" s="16">
        <f>Table5[[#This Row],[ORDER QTY]]*Table5[[#This Row],[Sale Price]]</f>
        <v>0</v>
      </c>
    </row>
    <row r="29" spans="1:8">
      <c r="A29" t="s">
        <v>931</v>
      </c>
      <c r="B29" t="s">
        <v>932</v>
      </c>
      <c r="C29" t="s">
        <v>818</v>
      </c>
      <c r="F29" s="16">
        <v>32.99</v>
      </c>
      <c r="G29" s="16">
        <f>Table5[[#This Row],[Cost Price]]*1.25</f>
        <v>41.237500000000004</v>
      </c>
      <c r="H29" s="16">
        <f>Table5[[#This Row],[ORDER QTY]]*Table5[[#This Row],[Sale Price]]</f>
        <v>0</v>
      </c>
    </row>
    <row r="30" spans="1:8">
      <c r="A30" t="s">
        <v>934</v>
      </c>
      <c r="B30" t="s">
        <v>933</v>
      </c>
      <c r="C30" t="s">
        <v>170</v>
      </c>
      <c r="F30" s="16">
        <v>12.49</v>
      </c>
      <c r="G30" s="16">
        <f>Table5[[#This Row],[Cost Price]]*1.25</f>
        <v>15.612500000000001</v>
      </c>
      <c r="H30" s="16">
        <f>Table5[[#This Row],[ORDER QTY]]*Table5[[#This Row],[Sale Price]]</f>
        <v>0</v>
      </c>
    </row>
    <row r="31" spans="1:8">
      <c r="A31" t="s">
        <v>935</v>
      </c>
      <c r="B31" t="s">
        <v>1246</v>
      </c>
      <c r="C31" t="s">
        <v>1247</v>
      </c>
      <c r="E31" t="s">
        <v>1248</v>
      </c>
      <c r="F31" s="16">
        <v>20.49</v>
      </c>
      <c r="G31" s="16">
        <f>Table5[[#This Row],[Cost Price]]*1.25</f>
        <v>25.612499999999997</v>
      </c>
      <c r="H31" s="16">
        <f>Table5[[#This Row],[ORDER QTY]]*Table5[[#This Row],[Sale Price]]</f>
        <v>0</v>
      </c>
    </row>
    <row r="32" spans="1:8">
      <c r="A32" t="s">
        <v>936</v>
      </c>
      <c r="B32" t="s">
        <v>937</v>
      </c>
      <c r="C32" t="s">
        <v>938</v>
      </c>
      <c r="E32" t="s">
        <v>1248</v>
      </c>
      <c r="F32" s="16">
        <v>12.29</v>
      </c>
      <c r="G32" s="16">
        <f>Table5[[#This Row],[Cost Price]]*1.25</f>
        <v>15.362499999999999</v>
      </c>
      <c r="H32" s="16">
        <f>Table5[[#This Row],[ORDER QTY]]*Table5[[#This Row],[Sale Price]]</f>
        <v>0</v>
      </c>
    </row>
    <row r="33" spans="1:8">
      <c r="A33" t="s">
        <v>939</v>
      </c>
      <c r="B33" t="s">
        <v>940</v>
      </c>
      <c r="C33" t="s">
        <v>941</v>
      </c>
      <c r="E33" t="s">
        <v>1248</v>
      </c>
      <c r="F33" s="16">
        <v>25.49</v>
      </c>
      <c r="G33" s="16">
        <f>Table5[[#This Row],[Cost Price]]*1.25</f>
        <v>31.862499999999997</v>
      </c>
      <c r="H33" s="16">
        <f>Table5[[#This Row],[ORDER QTY]]*Table5[[#This Row],[Sale Price]]</f>
        <v>0</v>
      </c>
    </row>
    <row r="34" spans="1:8">
      <c r="A34" t="s">
        <v>942</v>
      </c>
      <c r="B34" t="s">
        <v>943</v>
      </c>
      <c r="C34" t="s">
        <v>1249</v>
      </c>
      <c r="F34" s="16">
        <v>7.39</v>
      </c>
      <c r="G34" s="16">
        <f>Table5[[#This Row],[Cost Price]]*1.25</f>
        <v>9.2374999999999989</v>
      </c>
      <c r="H34" s="16">
        <f>Table5[[#This Row],[ORDER QTY]]*Table5[[#This Row],[Sale Price]]</f>
        <v>0</v>
      </c>
    </row>
    <row r="35" spans="1:8">
      <c r="A35" t="s">
        <v>944</v>
      </c>
      <c r="B35" t="s">
        <v>945</v>
      </c>
      <c r="C35" t="s">
        <v>946</v>
      </c>
      <c r="F35" s="16">
        <v>28.49</v>
      </c>
      <c r="G35" s="16">
        <f>Table5[[#This Row],[Cost Price]]*1.25</f>
        <v>35.612499999999997</v>
      </c>
      <c r="H35" s="16">
        <f>Table5[[#This Row],[ORDER QTY]]*Table5[[#This Row],[Sale Price]]</f>
        <v>0</v>
      </c>
    </row>
    <row r="36" spans="1:8">
      <c r="B36" t="s">
        <v>947</v>
      </c>
      <c r="C36" t="s">
        <v>635</v>
      </c>
      <c r="F36" s="16">
        <v>15.99</v>
      </c>
      <c r="G36" s="16">
        <f>Table5[[#This Row],[Cost Price]]*1.25</f>
        <v>19.987500000000001</v>
      </c>
      <c r="H36" s="16">
        <f>Table5[[#This Row],[ORDER QTY]]*Table5[[#This Row],[Sale Price]]</f>
        <v>0</v>
      </c>
    </row>
    <row r="37" spans="1:8">
      <c r="A37" t="s">
        <v>950</v>
      </c>
      <c r="B37" t="s">
        <v>947</v>
      </c>
      <c r="C37" t="s">
        <v>949</v>
      </c>
      <c r="F37" s="16">
        <v>11.49</v>
      </c>
      <c r="G37" s="16">
        <f>Table5[[#This Row],[Cost Price]]*1.25</f>
        <v>14.362500000000001</v>
      </c>
      <c r="H37" s="16">
        <f>Table5[[#This Row],[ORDER QTY]]*Table5[[#This Row],[Sale Price]]</f>
        <v>0</v>
      </c>
    </row>
    <row r="38" spans="1:8">
      <c r="B38" t="s">
        <v>1250</v>
      </c>
      <c r="C38" t="s">
        <v>949</v>
      </c>
      <c r="F38" s="16">
        <v>7.99</v>
      </c>
      <c r="G38" s="16">
        <f>Table5[[#This Row],[Cost Price]]*1.25</f>
        <v>9.9875000000000007</v>
      </c>
      <c r="H38" s="16">
        <f>Table5[[#This Row],[ORDER QTY]]*Table5[[#This Row],[Sale Price]]</f>
        <v>0</v>
      </c>
    </row>
    <row r="39" spans="1:8">
      <c r="A39" t="s">
        <v>948</v>
      </c>
      <c r="B39" t="s">
        <v>951</v>
      </c>
      <c r="C39" t="s">
        <v>949</v>
      </c>
      <c r="F39" s="16">
        <v>14.49</v>
      </c>
      <c r="G39" s="16">
        <f>Table5[[#This Row],[Cost Price]]*1.25</f>
        <v>18.112500000000001</v>
      </c>
      <c r="H39" s="16">
        <f>Table5[[#This Row],[ORDER QTY]]*Table5[[#This Row],[Sale Price]]</f>
        <v>0</v>
      </c>
    </row>
    <row r="40" spans="1:8">
      <c r="A40" t="s">
        <v>952</v>
      </c>
      <c r="B40" t="s">
        <v>1251</v>
      </c>
      <c r="C40" t="s">
        <v>1252</v>
      </c>
      <c r="F40" s="16">
        <v>12.99</v>
      </c>
      <c r="G40" s="16">
        <f>Table5[[#This Row],[Cost Price]]*1.25</f>
        <v>16.237500000000001</v>
      </c>
      <c r="H40" s="16">
        <f>Table5[[#This Row],[ORDER QTY]]*Table5[[#This Row],[Sale Price]]</f>
        <v>0</v>
      </c>
    </row>
    <row r="41" spans="1:8">
      <c r="A41" t="s">
        <v>953</v>
      </c>
      <c r="B41" t="s">
        <v>954</v>
      </c>
      <c r="C41" t="s">
        <v>1252</v>
      </c>
      <c r="F41" s="16">
        <v>5.29</v>
      </c>
      <c r="G41" s="16">
        <f>Table5[[#This Row],[Cost Price]]*1.25</f>
        <v>6.6124999999999998</v>
      </c>
      <c r="H41" s="16">
        <f>Table5[[#This Row],[ORDER QTY]]*Table5[[#This Row],[Sale Price]]</f>
        <v>0</v>
      </c>
    </row>
    <row r="42" spans="1:8">
      <c r="A42" t="s">
        <v>955</v>
      </c>
      <c r="B42" t="s">
        <v>956</v>
      </c>
      <c r="C42" t="s">
        <v>58</v>
      </c>
      <c r="E42" t="s">
        <v>1253</v>
      </c>
      <c r="F42" s="16">
        <v>7.99</v>
      </c>
      <c r="G42" s="16">
        <f>Table5[[#This Row],[Cost Price]]*1.25</f>
        <v>9.9875000000000007</v>
      </c>
      <c r="H42" s="16">
        <f>Table5[[#This Row],[ORDER QTY]]*Table5[[#This Row],[Sale Price]]</f>
        <v>0</v>
      </c>
    </row>
    <row r="43" spans="1:8">
      <c r="A43" t="s">
        <v>957</v>
      </c>
      <c r="B43" t="s">
        <v>958</v>
      </c>
      <c r="E43" t="s">
        <v>959</v>
      </c>
      <c r="F43" s="16">
        <v>11.99</v>
      </c>
      <c r="G43" s="16">
        <f>Table5[[#This Row],[Cost Price]]*1.25</f>
        <v>14.987500000000001</v>
      </c>
      <c r="H43" s="16">
        <f>Table5[[#This Row],[ORDER QTY]]*Table5[[#This Row],[Sale Price]]</f>
        <v>0</v>
      </c>
    </row>
    <row r="44" spans="1:8">
      <c r="A44" t="s">
        <v>960</v>
      </c>
      <c r="B44" t="s">
        <v>964</v>
      </c>
      <c r="C44" t="s">
        <v>635</v>
      </c>
      <c r="F44" s="16">
        <v>5.29</v>
      </c>
      <c r="G44" s="16">
        <f>Table5[[#This Row],[Cost Price]]*1.25</f>
        <v>6.6124999999999998</v>
      </c>
      <c r="H44" s="16">
        <f>Table5[[#This Row],[ORDER QTY]]*Table5[[#This Row],[Sale Price]]</f>
        <v>0</v>
      </c>
    </row>
    <row r="45" spans="1:8">
      <c r="A45" t="s">
        <v>961</v>
      </c>
      <c r="B45" t="s">
        <v>1049</v>
      </c>
      <c r="C45" t="s">
        <v>949</v>
      </c>
      <c r="F45" s="16">
        <v>4.99</v>
      </c>
      <c r="G45" s="16">
        <f>Table5[[#This Row],[Cost Price]]*1.25</f>
        <v>6.2375000000000007</v>
      </c>
      <c r="H45" s="16">
        <f>Table5[[#This Row],[ORDER QTY]]*Table5[[#This Row],[Sale Price]]</f>
        <v>0</v>
      </c>
    </row>
    <row r="46" spans="1:8">
      <c r="A46" t="s">
        <v>962</v>
      </c>
      <c r="B46" t="s">
        <v>963</v>
      </c>
      <c r="C46" t="s">
        <v>1254</v>
      </c>
      <c r="F46" s="16">
        <v>38.99</v>
      </c>
      <c r="G46" s="16">
        <f>Table5[[#This Row],[Cost Price]]*1.25</f>
        <v>48.737500000000004</v>
      </c>
      <c r="H46" s="16">
        <f>Table5[[#This Row],[ORDER QTY]]*Table5[[#This Row],[Sale Price]]</f>
        <v>0</v>
      </c>
    </row>
    <row r="47" spans="1:8">
      <c r="A47" t="s">
        <v>965</v>
      </c>
      <c r="B47" t="s">
        <v>966</v>
      </c>
      <c r="C47" t="s">
        <v>637</v>
      </c>
      <c r="E47" t="s">
        <v>967</v>
      </c>
      <c r="F47" s="16">
        <v>8.99</v>
      </c>
      <c r="G47" s="16">
        <f>Table5[[#This Row],[Cost Price]]*1.25</f>
        <v>11.237500000000001</v>
      </c>
      <c r="H47" s="16">
        <f>Table5[[#This Row],[ORDER QTY]]*Table5[[#This Row],[Sale Price]]</f>
        <v>0</v>
      </c>
    </row>
    <row r="48" spans="1:8">
      <c r="A48" t="s">
        <v>968</v>
      </c>
      <c r="B48" t="s">
        <v>969</v>
      </c>
      <c r="C48" t="s">
        <v>970</v>
      </c>
      <c r="E48" t="s">
        <v>971</v>
      </c>
      <c r="F48" s="16">
        <v>18.489999999999998</v>
      </c>
      <c r="G48" s="16">
        <f>Table5[[#This Row],[Cost Price]]*1.25</f>
        <v>23.112499999999997</v>
      </c>
      <c r="H48" s="16">
        <f>Table5[[#This Row],[ORDER QTY]]*Table5[[#This Row],[Sale Price]]</f>
        <v>0</v>
      </c>
    </row>
    <row r="49" spans="1:8">
      <c r="A49" t="s">
        <v>972</v>
      </c>
      <c r="B49" t="s">
        <v>1255</v>
      </c>
      <c r="C49" t="s">
        <v>1256</v>
      </c>
      <c r="E49" t="s">
        <v>1257</v>
      </c>
      <c r="F49" s="16">
        <v>27.49</v>
      </c>
      <c r="G49" s="16">
        <f>Table5[[#This Row],[Cost Price]]*1.25</f>
        <v>34.362499999999997</v>
      </c>
      <c r="H49" s="16">
        <f>Table5[[#This Row],[ORDER QTY]]*Table5[[#This Row],[Sale Price]]</f>
        <v>0</v>
      </c>
    </row>
    <row r="50" spans="1:8">
      <c r="A50" t="s">
        <v>973</v>
      </c>
      <c r="B50" t="s">
        <v>974</v>
      </c>
      <c r="C50" t="s">
        <v>1258</v>
      </c>
      <c r="E50" t="s">
        <v>976</v>
      </c>
      <c r="F50" s="16">
        <v>41.99</v>
      </c>
      <c r="G50" s="16">
        <f>Table5[[#This Row],[Cost Price]]*1.25</f>
        <v>52.487500000000004</v>
      </c>
      <c r="H50" s="16">
        <f>Table5[[#This Row],[ORDER QTY]]*Table5[[#This Row],[Sale Price]]</f>
        <v>0</v>
      </c>
    </row>
    <row r="51" spans="1:8">
      <c r="A51" t="s">
        <v>977</v>
      </c>
      <c r="B51" t="s">
        <v>978</v>
      </c>
      <c r="C51" t="s">
        <v>1258</v>
      </c>
      <c r="E51" t="s">
        <v>976</v>
      </c>
      <c r="F51" s="16">
        <v>14.99</v>
      </c>
      <c r="G51" s="16">
        <f>Table5[[#This Row],[Cost Price]]*1.25</f>
        <v>18.737500000000001</v>
      </c>
      <c r="H51" s="16">
        <f>Table5[[#This Row],[ORDER QTY]]*Table5[[#This Row],[Sale Price]]</f>
        <v>0</v>
      </c>
    </row>
    <row r="52" spans="1:8">
      <c r="A52" t="s">
        <v>979</v>
      </c>
      <c r="B52" t="s">
        <v>980</v>
      </c>
      <c r="C52" t="s">
        <v>1258</v>
      </c>
      <c r="E52" t="s">
        <v>981</v>
      </c>
      <c r="F52" s="16">
        <v>22.49</v>
      </c>
      <c r="G52" s="16">
        <f>Table5[[#This Row],[Cost Price]]*1.25</f>
        <v>28.112499999999997</v>
      </c>
      <c r="H52" s="16">
        <f>Table5[[#This Row],[ORDER QTY]]*Table5[[#This Row],[Sale Price]]</f>
        <v>0</v>
      </c>
    </row>
    <row r="53" spans="1:8">
      <c r="A53" t="s">
        <v>982</v>
      </c>
      <c r="B53" t="s">
        <v>1050</v>
      </c>
      <c r="C53" t="s">
        <v>1258</v>
      </c>
      <c r="E53" t="s">
        <v>981</v>
      </c>
      <c r="F53" s="16">
        <v>15.99</v>
      </c>
      <c r="G53" s="16">
        <f>Table5[[#This Row],[Cost Price]]*1.25</f>
        <v>19.987500000000001</v>
      </c>
      <c r="H53" s="16">
        <f>Table5[[#This Row],[ORDER QTY]]*Table5[[#This Row],[Sale Price]]</f>
        <v>0</v>
      </c>
    </row>
    <row r="54" spans="1:8">
      <c r="A54" t="s">
        <v>992</v>
      </c>
      <c r="B54" t="s">
        <v>1051</v>
      </c>
      <c r="C54" t="s">
        <v>993</v>
      </c>
      <c r="F54" s="16">
        <v>3.99</v>
      </c>
      <c r="G54" s="16">
        <f>Table5[[#This Row],[Cost Price]]*1.25</f>
        <v>4.9875000000000007</v>
      </c>
      <c r="H54" s="16">
        <f>Table5[[#This Row],[ORDER QTY]]*Table5[[#This Row],[Sale Price]]</f>
        <v>0</v>
      </c>
    </row>
    <row r="55" spans="1:8">
      <c r="A55" t="s">
        <v>983</v>
      </c>
      <c r="B55" t="s">
        <v>984</v>
      </c>
      <c r="C55" t="s">
        <v>985</v>
      </c>
      <c r="F55" s="16">
        <v>13.99</v>
      </c>
      <c r="G55" s="16">
        <f>Table5[[#This Row],[Cost Price]]*1.25</f>
        <v>17.487500000000001</v>
      </c>
      <c r="H55" s="16">
        <f>Table5[[#This Row],[ORDER QTY]]*Table5[[#This Row],[Sale Price]]</f>
        <v>0</v>
      </c>
    </row>
    <row r="56" spans="1:8">
      <c r="A56" t="s">
        <v>986</v>
      </c>
      <c r="B56" t="s">
        <v>987</v>
      </c>
      <c r="C56" t="s">
        <v>985</v>
      </c>
      <c r="F56" s="16">
        <v>10.99</v>
      </c>
      <c r="G56" s="16">
        <f>Table5[[#This Row],[Cost Price]]*1.25</f>
        <v>13.737500000000001</v>
      </c>
      <c r="H56" s="16">
        <f>Table5[[#This Row],[ORDER QTY]]*Table5[[#This Row],[Sale Price]]</f>
        <v>0</v>
      </c>
    </row>
    <row r="57" spans="1:8">
      <c r="A57" t="s">
        <v>988</v>
      </c>
      <c r="B57" t="s">
        <v>989</v>
      </c>
      <c r="C57" t="s">
        <v>985</v>
      </c>
      <c r="F57" s="16">
        <v>8.99</v>
      </c>
      <c r="G57" s="16">
        <f>Table5[[#This Row],[Cost Price]]*1.25</f>
        <v>11.237500000000001</v>
      </c>
      <c r="H57" s="16">
        <f>Table5[[#This Row],[ORDER QTY]]*Table5[[#This Row],[Sale Price]]</f>
        <v>0</v>
      </c>
    </row>
    <row r="58" spans="1:8">
      <c r="A58" t="s">
        <v>990</v>
      </c>
      <c r="B58" t="s">
        <v>991</v>
      </c>
      <c r="C58" t="s">
        <v>975</v>
      </c>
      <c r="F58" s="16">
        <v>5.99</v>
      </c>
      <c r="G58" s="16">
        <f>Table5[[#This Row],[Cost Price]]*1.25</f>
        <v>7.4875000000000007</v>
      </c>
      <c r="H58" s="16">
        <f>Table5[[#This Row],[ORDER QTY]]*Table5[[#This Row],[Sale Price]]</f>
        <v>0</v>
      </c>
    </row>
    <row r="59" spans="1:8">
      <c r="A59" t="s">
        <v>996</v>
      </c>
      <c r="B59" t="s">
        <v>994</v>
      </c>
      <c r="E59" t="s">
        <v>995</v>
      </c>
      <c r="F59" s="16">
        <v>8.49</v>
      </c>
      <c r="G59" s="16">
        <f>Table5[[#This Row],[Cost Price]]*1.25</f>
        <v>10.612500000000001</v>
      </c>
      <c r="H59" s="16">
        <f>Table5[[#This Row],[ORDER QTY]]*Table5[[#This Row],[Sale Price]]</f>
        <v>0</v>
      </c>
    </row>
    <row r="60" spans="1:8">
      <c r="A60" t="s">
        <v>997</v>
      </c>
      <c r="B60" t="s">
        <v>1052</v>
      </c>
      <c r="E60" t="s">
        <v>998</v>
      </c>
      <c r="F60" s="16">
        <v>9.99</v>
      </c>
      <c r="G60" s="16">
        <f>Table5[[#This Row],[Cost Price]]*1.25</f>
        <v>12.487500000000001</v>
      </c>
      <c r="H60" s="16">
        <f>Table5[[#This Row],[ORDER QTY]]*Table5[[#This Row],[Sale Price]]</f>
        <v>0</v>
      </c>
    </row>
    <row r="61" spans="1:8">
      <c r="A61" t="s">
        <v>999</v>
      </c>
      <c r="B61" t="s">
        <v>1000</v>
      </c>
      <c r="E61" t="s">
        <v>1001</v>
      </c>
      <c r="F61" s="16">
        <v>9.49</v>
      </c>
      <c r="G61" s="16">
        <f>Table5[[#This Row],[Cost Price]]*1.25</f>
        <v>11.862500000000001</v>
      </c>
      <c r="H61" s="16">
        <f>Table5[[#This Row],[ORDER QTY]]*Table5[[#This Row],[Sale Price]]</f>
        <v>0</v>
      </c>
    </row>
    <row r="62" spans="1:8">
      <c r="A62" t="s">
        <v>1002</v>
      </c>
      <c r="B62" t="s">
        <v>1003</v>
      </c>
      <c r="E62" t="s">
        <v>1004</v>
      </c>
      <c r="F62" s="16">
        <v>10.49</v>
      </c>
      <c r="G62" s="16">
        <f>Table5[[#This Row],[Cost Price]]*1.25</f>
        <v>13.112500000000001</v>
      </c>
      <c r="H62" s="16">
        <f>Table5[[#This Row],[ORDER QTY]]*Table5[[#This Row],[Sale Price]]</f>
        <v>0</v>
      </c>
    </row>
    <row r="63" spans="1:8">
      <c r="A63" t="s">
        <v>1005</v>
      </c>
      <c r="B63" t="s">
        <v>1006</v>
      </c>
      <c r="E63" t="s">
        <v>1007</v>
      </c>
      <c r="F63" s="16">
        <v>10.49</v>
      </c>
      <c r="G63" s="16">
        <f>Table5[[#This Row],[Cost Price]]*1.25</f>
        <v>13.112500000000001</v>
      </c>
      <c r="H63" s="16">
        <f>Table5[[#This Row],[ORDER QTY]]*Table5[[#This Row],[Sale Price]]</f>
        <v>0</v>
      </c>
    </row>
    <row r="66" spans="1:5">
      <c r="A66" s="39" t="s">
        <v>1015</v>
      </c>
      <c r="B66" s="39"/>
      <c r="C66" s="39"/>
    </row>
    <row r="67" spans="1:5">
      <c r="A67" s="39"/>
      <c r="B67" s="39"/>
      <c r="C67" s="39"/>
    </row>
    <row r="68" spans="1:5">
      <c r="A68" s="2" t="s">
        <v>654</v>
      </c>
      <c r="B68" s="2" t="s">
        <v>655</v>
      </c>
      <c r="C68" s="2" t="s">
        <v>0</v>
      </c>
      <c r="D68" s="2" t="s">
        <v>1</v>
      </c>
      <c r="E68" s="2" t="s">
        <v>2</v>
      </c>
    </row>
  </sheetData>
  <mergeCells count="2">
    <mergeCell ref="B1:D4"/>
    <mergeCell ref="A66:C67"/>
  </mergeCells>
  <phoneticPr fontId="8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DRY STORES</vt:lpstr>
      <vt:lpstr>FRESH FOODS</vt:lpstr>
      <vt:lpstr>FROZEN FOODS</vt:lpstr>
      <vt:lpstr>Fish &amp; Meats</vt:lpstr>
      <vt:lpstr>HYGIENE</vt:lpstr>
    </vt:vector>
  </TitlesOfParts>
  <Company>Northumbria University at Newcastle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aghyad.kutuf</dc:creator>
  <cp:lastModifiedBy>Aghyad Kutuf</cp:lastModifiedBy>
  <dcterms:created xsi:type="dcterms:W3CDTF">2020-01-13T16:51:25Z</dcterms:created>
  <dcterms:modified xsi:type="dcterms:W3CDTF">2026-04-06T13:40:18Z</dcterms:modified>
</cp:coreProperties>
</file>