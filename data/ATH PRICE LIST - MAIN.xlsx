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C2273746-C11B-468E-8499-D14841604D3F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DRY STORE" sheetId="1" r:id="rId1"/>
    <sheet name="HYGIE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 a="1"/>
  <c r="H3" i="1" a="1"/>
  <c r="H4" i="1" a="1"/>
  <c r="H5" i="1" a="1"/>
  <c r="H6" i="1" a="1"/>
  <c r="H7" i="1" a="1"/>
  <c r="H8" i="1" a="1"/>
  <c r="H9" i="1" a="1"/>
  <c r="H10" i="1" a="1"/>
  <c r="H11" i="1" a="1"/>
  <c r="H12" i="1" a="1"/>
  <c r="H13" i="1" a="1"/>
  <c r="H14" i="1" a="1"/>
  <c r="H15" i="1" a="1"/>
  <c r="H16" i="1" a="1"/>
  <c r="H17" i="1" a="1"/>
  <c r="H18" i="1" a="1"/>
  <c r="H19" i="1" a="1"/>
  <c r="H20" i="1" a="1"/>
  <c r="H21" i="1" a="1"/>
  <c r="H22" i="1" a="1"/>
  <c r="H23" i="1" a="1"/>
  <c r="H24" i="1" a="1"/>
  <c r="H25" i="1" a="1"/>
  <c r="H26" i="1" a="1"/>
  <c r="H27" i="1" a="1"/>
  <c r="H28" i="1" a="1"/>
  <c r="H29" i="1" a="1"/>
  <c r="H30" i="1" a="1"/>
  <c r="H31" i="1" a="1"/>
  <c r="H32" i="1" a="1"/>
  <c r="H33" i="1" a="1"/>
  <c r="H34" i="1" a="1"/>
  <c r="H35" i="1" a="1"/>
  <c r="H36" i="1" a="1"/>
  <c r="H37" i="1" a="1"/>
  <c r="H38" i="1" a="1"/>
  <c r="H39" i="1" a="1"/>
  <c r="H40" i="1" a="1"/>
  <c r="H41" i="1" a="1"/>
  <c r="H42" i="1" a="1"/>
  <c r="H43" i="1" a="1"/>
  <c r="H44" i="1" a="1"/>
  <c r="H45" i="1" a="1"/>
  <c r="H46" i="1" a="1"/>
  <c r="H47" i="1" a="1"/>
  <c r="H48" i="1" a="1"/>
  <c r="H49" i="1" a="1"/>
  <c r="H50" i="1" a="1"/>
  <c r="H51" i="1" a="1"/>
  <c r="H52" i="1" a="1"/>
  <c r="H53" i="1" a="1"/>
  <c r="H54" i="1" a="1"/>
  <c r="H55" i="1" a="1"/>
  <c r="H56" i="1" a="1"/>
  <c r="H57" i="1" a="1"/>
  <c r="H58" i="1" a="1"/>
  <c r="H59" i="1" a="1"/>
  <c r="H60" i="1" a="1"/>
  <c r="H61" i="1" a="1"/>
  <c r="H62" i="1" a="1"/>
  <c r="H63" i="1" a="1"/>
  <c r="H64" i="1" a="1"/>
  <c r="H65" i="1" a="1"/>
  <c r="H66" i="1" a="1"/>
  <c r="H67" i="1" a="1"/>
  <c r="H68" i="1" a="1"/>
  <c r="H69" i="1" a="1"/>
  <c r="H70" i="1" a="1"/>
  <c r="H71" i="1" a="1"/>
  <c r="H72" i="1" a="1"/>
  <c r="H73" i="1" a="1"/>
  <c r="H74" i="1" a="1"/>
  <c r="H75" i="1" a="1"/>
  <c r="H76" i="1" a="1"/>
  <c r="H77" i="1" a="1"/>
  <c r="H78" i="1" a="1"/>
  <c r="H79" i="1" a="1"/>
  <c r="H80" i="1" a="1"/>
  <c r="H81" i="1" a="1"/>
  <c r="H82" i="1" a="1"/>
  <c r="H83" i="1" a="1"/>
  <c r="H84" i="1" a="1"/>
  <c r="H85" i="1" a="1"/>
  <c r="H86" i="1" a="1"/>
  <c r="H87" i="1" a="1"/>
  <c r="H88" i="1" a="1"/>
  <c r="H89" i="1" a="1"/>
  <c r="H90" i="1" a="1"/>
  <c r="H91" i="1" a="1"/>
  <c r="H92" i="1" a="1"/>
  <c r="H93" i="1" a="1"/>
  <c r="H94" i="1" a="1"/>
  <c r="H95" i="1" a="1"/>
  <c r="H96" i="1" a="1"/>
  <c r="H97" i="1" a="1"/>
  <c r="H98" i="1" a="1"/>
  <c r="H99" i="1" a="1"/>
  <c r="H100" i="1" a="1"/>
  <c r="H101" i="1" a="1"/>
  <c r="H102" i="1" a="1"/>
  <c r="H103" i="1" a="1"/>
  <c r="H104" i="1" a="1"/>
  <c r="H105" i="1" a="1"/>
  <c r="H106" i="1" a="1"/>
  <c r="H107" i="1" a="1"/>
  <c r="H108" i="1" a="1"/>
  <c r="H109" i="1" a="1"/>
  <c r="H110" i="1" a="1"/>
  <c r="H111" i="1" a="1"/>
  <c r="H112" i="1" a="1"/>
  <c r="H113" i="1" a="1"/>
  <c r="H114" i="1" a="1"/>
  <c r="H115" i="1" a="1"/>
  <c r="H116" i="1" a="1"/>
  <c r="H117" i="1" a="1"/>
  <c r="H118" i="1" a="1"/>
  <c r="H119" i="1" a="1"/>
  <c r="H120" i="1" a="1"/>
  <c r="H121" i="1" a="1"/>
  <c r="H122" i="1" a="1"/>
  <c r="H123" i="1" a="1"/>
  <c r="H124" i="1" a="1"/>
  <c r="H125" i="1" a="1"/>
  <c r="H126" i="1" a="1"/>
  <c r="H127" i="1" a="1"/>
  <c r="H128" i="1" a="1"/>
  <c r="H129" i="1" a="1"/>
  <c r="H130" i="1" a="1"/>
  <c r="H131" i="1" a="1"/>
  <c r="H132" i="1" a="1"/>
  <c r="H133" i="1" a="1"/>
  <c r="H134" i="1" a="1"/>
  <c r="H135" i="1" a="1"/>
  <c r="H136" i="1" a="1"/>
  <c r="H137" i="1" a="1"/>
  <c r="H138" i="1" a="1"/>
  <c r="H139" i="1" a="1"/>
  <c r="H140" i="1" a="1"/>
  <c r="H141" i="1" a="1"/>
  <c r="H142" i="1" a="1"/>
  <c r="H143" i="1" a="1"/>
  <c r="H144" i="1" a="1"/>
  <c r="H145" i="1" a="1"/>
  <c r="H146" i="1" a="1"/>
  <c r="H147" i="1" a="1"/>
  <c r="H148" i="1" a="1"/>
  <c r="H149" i="1" a="1"/>
  <c r="H150" i="1" a="1"/>
  <c r="H151" i="1" a="1"/>
  <c r="H152" i="1" a="1"/>
  <c r="H153" i="1" a="1"/>
  <c r="H154" i="1" a="1"/>
  <c r="H155" i="1" a="1"/>
  <c r="H156" i="1" a="1"/>
  <c r="H157" i="1" a="1"/>
  <c r="H158" i="1" a="1"/>
  <c r="H159" i="1" a="1"/>
  <c r="H160" i="1" a="1"/>
  <c r="H161" i="1" a="1"/>
  <c r="H162" i="1" a="1"/>
  <c r="H163" i="1" a="1"/>
  <c r="H164" i="1" a="1"/>
  <c r="H165" i="1" a="1"/>
  <c r="H166" i="1" a="1"/>
  <c r="H167" i="1" a="1"/>
  <c r="H168" i="1" a="1"/>
  <c r="H169" i="1" a="1"/>
  <c r="H170" i="1" a="1"/>
  <c r="H171" i="1" a="1"/>
  <c r="H172" i="1" a="1"/>
  <c r="H173" i="1" a="1"/>
  <c r="H174" i="1" a="1"/>
  <c r="H175" i="1" a="1"/>
  <c r="H176" i="1" a="1"/>
  <c r="H177" i="1" a="1"/>
  <c r="H178" i="1" a="1"/>
  <c r="H179" i="1" a="1"/>
  <c r="H180" i="1" a="1"/>
  <c r="H181" i="1" a="1"/>
  <c r="H182" i="1" a="1"/>
  <c r="H183" i="1" a="1"/>
  <c r="H184" i="1" a="1"/>
  <c r="H185" i="1" a="1"/>
  <c r="H186" i="1" a="1"/>
  <c r="H187" i="1" a="1"/>
  <c r="H188" i="1" a="1"/>
  <c r="H189" i="1" a="1"/>
  <c r="H190" i="1" a="1"/>
  <c r="H191" i="1" a="1"/>
  <c r="H192" i="1" a="1"/>
  <c r="H193" i="1" a="1"/>
  <c r="H194" i="1" a="1"/>
  <c r="H195" i="1" a="1"/>
  <c r="H196" i="1" a="1"/>
  <c r="H197" i="1" a="1"/>
  <c r="H198" i="1" a="1"/>
  <c r="H199" i="1" a="1"/>
  <c r="H200" i="1" a="1"/>
  <c r="H201" i="1" a="1"/>
  <c r="H202" i="1" a="1"/>
  <c r="H203" i="1" a="1"/>
  <c r="H204" i="1" a="1"/>
  <c r="H205" i="1" a="1"/>
  <c r="H206" i="1" a="1"/>
  <c r="H207" i="1" a="1"/>
  <c r="H208" i="1" a="1"/>
  <c r="H209" i="1" a="1"/>
  <c r="H210" i="1" a="1"/>
  <c r="H211" i="1" a="1"/>
  <c r="H212" i="1" a="1"/>
  <c r="H213" i="1" a="1"/>
  <c r="H214" i="1" a="1"/>
  <c r="H215" i="1" a="1"/>
  <c r="H216" i="1" a="1"/>
  <c r="H217" i="1" a="1"/>
  <c r="H218" i="1" a="1"/>
  <c r="H219" i="1" a="1"/>
  <c r="H220" i="1" a="1"/>
  <c r="H221" i="1" a="1"/>
  <c r="H222" i="1" a="1"/>
  <c r="H223" i="1" a="1"/>
  <c r="H224" i="1" a="1"/>
  <c r="H225" i="1" a="1"/>
  <c r="H226" i="1" a="1"/>
  <c r="H227" i="1" a="1"/>
  <c r="H228" i="1" a="1"/>
  <c r="H229" i="1" a="1"/>
  <c r="H230" i="1" a="1"/>
  <c r="H231" i="1" a="1"/>
  <c r="H232" i="1" a="1"/>
  <c r="H233" i="1" a="1"/>
  <c r="H234" i="1" a="1"/>
  <c r="H235" i="1" a="1"/>
  <c r="H236" i="1" a="1"/>
  <c r="H237" i="1" a="1"/>
  <c r="H238" i="1" a="1"/>
  <c r="H239" i="1" a="1"/>
  <c r="H240" i="1" a="1"/>
  <c r="H241" i="1" a="1"/>
  <c r="H242" i="1" a="1"/>
  <c r="H243" i="1" a="1"/>
  <c r="H244" i="1" a="1"/>
  <c r="H245" i="1" a="1"/>
  <c r="H246" i="1" a="1"/>
  <c r="H247" i="1" a="1"/>
  <c r="H248" i="1" a="1"/>
  <c r="H249" i="1" a="1"/>
  <c r="H250" i="1" a="1"/>
  <c r="H251" i="1" a="1"/>
  <c r="H252" i="1" a="1"/>
  <c r="H253" i="1" a="1"/>
  <c r="H254" i="1" a="1"/>
  <c r="H255" i="1" a="1"/>
  <c r="H256" i="1" a="1"/>
  <c r="H257" i="1" a="1"/>
  <c r="H258" i="1" a="1"/>
  <c r="H259" i="1" a="1"/>
  <c r="H260" i="1" a="1"/>
  <c r="H261" i="1" a="1"/>
  <c r="H262" i="1" a="1"/>
  <c r="H263" i="1" a="1"/>
  <c r="H264" i="1" a="1"/>
  <c r="H265" i="1" a="1"/>
  <c r="H266" i="1" a="1"/>
  <c r="H267" i="1" a="1"/>
  <c r="H268" i="1" a="1"/>
  <c r="H269" i="1" a="1"/>
  <c r="H270" i="1" a="1"/>
  <c r="H271" i="1" a="1"/>
  <c r="H272" i="1" a="1"/>
  <c r="H273" i="1" a="1"/>
  <c r="H274" i="1" a="1"/>
  <c r="H275" i="1" a="1"/>
  <c r="H276" i="1" a="1"/>
  <c r="H277" i="1" a="1"/>
  <c r="H278" i="1" a="1"/>
  <c r="H279" i="1" a="1"/>
  <c r="H280" i="1" a="1"/>
  <c r="H281" i="1" a="1"/>
  <c r="H282" i="1" a="1"/>
  <c r="H283" i="1" a="1"/>
  <c r="H284" i="1" a="1"/>
  <c r="H285" i="1" a="1"/>
  <c r="H286" i="1" a="1"/>
  <c r="H287" i="1" a="1"/>
  <c r="H288" i="1" a="1"/>
  <c r="H289" i="1" a="1"/>
  <c r="H290" i="1" a="1"/>
  <c r="H291" i="1" a="1"/>
  <c r="H292" i="1" a="1"/>
  <c r="H293" i="1" a="1"/>
  <c r="H294" i="1" a="1"/>
  <c r="H295" i="1" a="1"/>
  <c r="H296" i="1" a="1"/>
  <c r="H297" i="1" a="1"/>
  <c r="H298" i="1" a="1"/>
  <c r="H299" i="1" a="1"/>
  <c r="H300" i="1" a="1"/>
  <c r="H301" i="1" a="1"/>
  <c r="H302" i="1" a="1"/>
  <c r="H303" i="1" a="1"/>
  <c r="H304" i="1" a="1"/>
  <c r="H305" i="1" a="1"/>
  <c r="H306" i="1" a="1"/>
  <c r="H307" i="1" a="1"/>
  <c r="H308" i="1" a="1"/>
  <c r="H309" i="1" a="1"/>
  <c r="H310" i="1" a="1"/>
  <c r="H311" i="1" a="1"/>
  <c r="H312" i="1" a="1"/>
  <c r="H313" i="1" a="1"/>
  <c r="H314" i="1" a="1"/>
  <c r="H315" i="1" a="1"/>
  <c r="H316" i="1" a="1"/>
  <c r="H317" i="1" a="1"/>
  <c r="H318" i="1" a="1"/>
  <c r="H319" i="1" a="1"/>
  <c r="H320" i="1" a="1"/>
  <c r="H321" i="1" a="1"/>
  <c r="H322" i="1" a="1"/>
  <c r="H323" i="1" a="1"/>
  <c r="H324" i="1" a="1"/>
  <c r="H325" i="1" a="1"/>
  <c r="H326" i="1" a="1"/>
  <c r="H327" i="1" a="1"/>
  <c r="H328" i="1" a="1"/>
  <c r="H329" i="1" a="1"/>
  <c r="H330" i="1" a="1"/>
  <c r="H331" i="1" a="1"/>
  <c r="H332" i="1" a="1"/>
  <c r="H333" i="1" a="1"/>
  <c r="H334" i="1" a="1"/>
  <c r="H335" i="1" a="1"/>
  <c r="H336" i="1" a="1"/>
  <c r="H337" i="1" a="1"/>
  <c r="H338" i="1" a="1"/>
  <c r="H339" i="1" a="1"/>
  <c r="H340" i="1" a="1"/>
  <c r="H341" i="1" a="1"/>
  <c r="H342" i="1" a="1"/>
  <c r="H343" i="1" a="1"/>
  <c r="H344" i="1" a="1"/>
  <c r="H345" i="1" a="1"/>
  <c r="H346" i="1" a="1"/>
  <c r="H347" i="1" a="1"/>
  <c r="H348" i="1" a="1"/>
  <c r="H349" i="1" a="1"/>
  <c r="H350" i="1" a="1"/>
  <c r="H351" i="1" a="1"/>
  <c r="H352" i="1" a="1"/>
  <c r="H353" i="1" a="1"/>
  <c r="H354" i="1" a="1"/>
  <c r="H355" i="1" a="1"/>
  <c r="H356" i="1" a="1"/>
  <c r="H357" i="1" a="1"/>
  <c r="H358" i="1" a="1"/>
  <c r="H359" i="1" a="1"/>
  <c r="H360" i="1" a="1"/>
  <c r="H361" i="1" a="1"/>
  <c r="H362" i="1" a="1"/>
  <c r="H363" i="1" a="1"/>
  <c r="H364" i="1" a="1"/>
  <c r="H365" i="1" a="1"/>
  <c r="H366" i="1" a="1"/>
  <c r="H367" i="1" a="1"/>
  <c r="H368" i="1" a="1"/>
  <c r="H369" i="1" a="1"/>
  <c r="H370" i="1" a="1"/>
  <c r="H371" i="1" a="1"/>
  <c r="H372" i="1" a="1"/>
  <c r="H373" i="1" a="1"/>
  <c r="H374" i="1" a="1"/>
  <c r="H375" i="1" a="1"/>
  <c r="H376" i="1" a="1"/>
  <c r="H377" i="1" a="1"/>
  <c r="H378" i="1" a="1"/>
  <c r="H379" i="1" a="1"/>
  <c r="H380" i="1" a="1"/>
  <c r="H381" i="1" a="1"/>
  <c r="H382" i="1" a="1"/>
  <c r="H383" i="1" a="1"/>
  <c r="H384" i="1" a="1"/>
  <c r="H385" i="1" a="1"/>
  <c r="H386" i="1" a="1"/>
  <c r="H387" i="1" a="1"/>
  <c r="H388" i="1" a="1"/>
  <c r="H389" i="1" a="1"/>
  <c r="H390" i="1" a="1"/>
  <c r="H391" i="1" a="1"/>
  <c r="H392" i="1" a="1"/>
  <c r="H393" i="1" a="1"/>
  <c r="H394" i="1" a="1"/>
  <c r="H395" i="1" a="1"/>
  <c r="H396" i="1" a="1"/>
  <c r="H397" i="1" a="1"/>
  <c r="H398" i="1" a="1"/>
  <c r="H399" i="1" a="1"/>
  <c r="H400" i="1" a="1"/>
  <c r="H401" i="1" a="1"/>
  <c r="H402" i="1" a="1"/>
  <c r="H403" i="1" a="1"/>
  <c r="H404" i="1" a="1"/>
  <c r="H405" i="1" a="1"/>
  <c r="H406" i="1" a="1"/>
  <c r="H407" i="1" a="1"/>
  <c r="H408" i="1" a="1"/>
  <c r="H409" i="1" a="1"/>
  <c r="H410" i="1" a="1"/>
  <c r="H411" i="1" a="1"/>
  <c r="H412" i="1" a="1"/>
  <c r="H413" i="1" a="1"/>
  <c r="H414" i="1" a="1"/>
  <c r="H415" i="1" a="1"/>
  <c r="H416" i="1" a="1"/>
  <c r="H417" i="1" a="1"/>
  <c r="H418" i="1" a="1"/>
  <c r="H419" i="1" a="1"/>
  <c r="H420" i="1" a="1"/>
  <c r="H421" i="1" a="1"/>
  <c r="H422" i="1" a="1"/>
  <c r="H423" i="1" a="1"/>
  <c r="H424" i="1" a="1"/>
  <c r="H425" i="1" a="1"/>
  <c r="H426" i="1" a="1"/>
  <c r="H427" i="1" a="1"/>
  <c r="H428" i="1" a="1"/>
  <c r="H429" i="1" a="1"/>
  <c r="H430" i="1" a="1"/>
  <c r="H431" i="1" a="1"/>
  <c r="H432" i="1" a="1"/>
  <c r="H433" i="1" a="1"/>
  <c r="H434" i="1" a="1"/>
  <c r="H435" i="1" a="1"/>
  <c r="H436" i="1" a="1"/>
  <c r="H437" i="1" a="1"/>
  <c r="H438" i="1" a="1"/>
  <c r="H439" i="1" a="1"/>
  <c r="H440" i="1" a="1"/>
  <c r="H441" i="1" a="1"/>
  <c r="H442" i="1" a="1"/>
  <c r="H443" i="1" a="1"/>
  <c r="H444" i="1" a="1"/>
  <c r="H445" i="1" a="1"/>
  <c r="H446" i="1" a="1"/>
  <c r="H447" i="1" a="1"/>
  <c r="H448" i="1" a="1"/>
  <c r="H449" i="1" a="1"/>
  <c r="H450" i="1" a="1"/>
  <c r="H451" i="1" a="1"/>
  <c r="H452" i="1" a="1"/>
  <c r="H453" i="1" a="1"/>
  <c r="H454" i="1" a="1"/>
  <c r="H455" i="1" a="1"/>
  <c r="H456" i="1" a="1"/>
  <c r="H457" i="1" a="1"/>
  <c r="H458" i="1" a="1"/>
  <c r="H459" i="1" a="1"/>
  <c r="H460" i="1" a="1"/>
  <c r="H461" i="1" a="1"/>
  <c r="H462" i="1" a="1"/>
  <c r="H463" i="1" a="1"/>
  <c r="H464" i="1" a="1"/>
  <c r="H465" i="1" a="1"/>
  <c r="H466" i="1" a="1"/>
  <c r="H467" i="1" a="1"/>
  <c r="H468" i="1" a="1"/>
  <c r="H469" i="1" a="1"/>
  <c r="H470" i="1" a="1"/>
  <c r="H471" i="1" a="1"/>
  <c r="H472" i="1" a="1"/>
  <c r="H473" i="1" a="1"/>
  <c r="H474" i="1" a="1"/>
  <c r="H475" i="1" a="1"/>
  <c r="H476" i="1" a="1"/>
  <c r="H477" i="1" a="1"/>
  <c r="H478" i="1" a="1"/>
  <c r="H479" i="1" a="1"/>
  <c r="H480" i="1" a="1"/>
  <c r="H481" i="1" a="1"/>
  <c r="H482" i="1" a="1"/>
  <c r="H483" i="1" a="1"/>
  <c r="H484" i="1" a="1"/>
  <c r="H485" i="1" a="1"/>
  <c r="H486" i="1" a="1"/>
  <c r="H487" i="1" a="1"/>
  <c r="H488" i="1" a="1"/>
  <c r="H489" i="1" a="1"/>
  <c r="H490" i="1" a="1"/>
  <c r="H491" i="1" a="1"/>
  <c r="H492" i="1" a="1"/>
  <c r="H493" i="1" a="1"/>
  <c r="H494" i="1" a="1"/>
  <c r="H495" i="1" a="1"/>
  <c r="H496" i="1" a="1"/>
  <c r="H497" i="1" a="1"/>
  <c r="H498" i="1" a="1"/>
  <c r="H499" i="1" a="1"/>
  <c r="H500" i="1" a="1"/>
  <c r="H501" i="1" a="1"/>
  <c r="H502" i="1" a="1"/>
  <c r="H503" i="1" a="1"/>
  <c r="H504" i="1" a="1"/>
  <c r="H505" i="1" a="1"/>
  <c r="H506" i="1" a="1"/>
  <c r="H507" i="1" a="1"/>
  <c r="H508" i="1" a="1"/>
  <c r="H509" i="1" a="1"/>
  <c r="H510" i="1" a="1"/>
  <c r="H511" i="1" a="1"/>
  <c r="H512" i="1" a="1"/>
  <c r="H513" i="1" a="1"/>
  <c r="H514" i="1" a="1"/>
  <c r="H515" i="1" a="1"/>
  <c r="H516" i="1" a="1"/>
  <c r="H517" i="1" a="1"/>
  <c r="H518" i="1" a="1"/>
  <c r="H519" i="1" a="1"/>
  <c r="H520" i="1" a="1"/>
  <c r="H521" i="1" a="1"/>
  <c r="H522" i="1" a="1"/>
  <c r="H523" i="1" a="1"/>
  <c r="H524" i="1" a="1"/>
  <c r="H525" i="1" a="1"/>
  <c r="H526" i="1" a="1"/>
  <c r="H527" i="1" a="1"/>
  <c r="H528" i="1" a="1"/>
  <c r="H529" i="1" a="1"/>
  <c r="H530" i="1" a="1"/>
  <c r="H531" i="1" a="1"/>
  <c r="H532" i="1" a="1"/>
  <c r="H533" i="1" a="1"/>
  <c r="H534" i="1" a="1"/>
  <c r="H535" i="1" a="1"/>
  <c r="H536" i="1" a="1"/>
  <c r="H537" i="1" a="1"/>
  <c r="H538" i="1" a="1"/>
  <c r="H539" i="1" a="1"/>
  <c r="H540" i="1" a="1"/>
  <c r="H541" i="1" a="1"/>
  <c r="H542" i="1" a="1"/>
  <c r="H543" i="1" a="1"/>
  <c r="H544" i="1" a="1"/>
  <c r="H545" i="1" a="1"/>
  <c r="H546" i="1" a="1"/>
  <c r="H547" i="1" a="1"/>
  <c r="H548" i="1" a="1"/>
  <c r="H549" i="1" a="1"/>
  <c r="H550" i="1" a="1"/>
  <c r="H551" i="1" a="1"/>
  <c r="H552" i="1" a="1"/>
  <c r="H553" i="1" a="1"/>
  <c r="H554" i="1" a="1"/>
  <c r="H555" i="1" a="1"/>
  <c r="H556" i="1" a="1"/>
  <c r="H557" i="1" a="1"/>
  <c r="H558" i="1" a="1"/>
  <c r="H559" i="1" a="1"/>
  <c r="H560" i="1" a="1"/>
  <c r="H561" i="1" a="1"/>
  <c r="H562" i="1" a="1"/>
  <c r="H563" i="1" a="1"/>
  <c r="H564" i="1" a="1"/>
  <c r="H565" i="1" a="1"/>
  <c r="H566" i="1" a="1"/>
  <c r="H567" i="1" a="1"/>
  <c r="H568" i="1" a="1"/>
  <c r="H569" i="1" a="1"/>
  <c r="H570" i="1" a="1"/>
  <c r="H571" i="1" a="1"/>
  <c r="H572" i="1" a="1"/>
  <c r="H573" i="1" a="1"/>
  <c r="H574" i="1" a="1"/>
  <c r="H575" i="1" a="1"/>
  <c r="H576" i="1" a="1"/>
  <c r="H577" i="1" a="1"/>
  <c r="H578" i="1" a="1"/>
  <c r="H579" i="1" a="1"/>
  <c r="H580" i="1" a="1"/>
  <c r="H581" i="1" a="1"/>
  <c r="H582" i="1" a="1"/>
  <c r="H583" i="1" a="1"/>
  <c r="H584" i="1" a="1"/>
  <c r="H585" i="1" a="1"/>
  <c r="H586" i="1" a="1"/>
  <c r="H587" i="1" a="1"/>
  <c r="H588" i="1" a="1"/>
  <c r="H589" i="1" a="1"/>
  <c r="H590" i="1" a="1"/>
  <c r="H591" i="1" a="1"/>
  <c r="H592" i="1" a="1"/>
  <c r="H593" i="1" a="1"/>
  <c r="H594" i="1" a="1"/>
  <c r="H595" i="1" a="1"/>
  <c r="H596" i="1" a="1"/>
  <c r="H597" i="1" a="1"/>
  <c r="H598" i="1" a="1"/>
  <c r="H599" i="1" a="1"/>
  <c r="H600" i="1" a="1"/>
  <c r="H601" i="1" a="1"/>
  <c r="H602" i="1" a="1"/>
  <c r="H603" i="1" a="1"/>
  <c r="H604" i="1" a="1"/>
  <c r="H605" i="1" a="1"/>
  <c r="H606" i="1" a="1"/>
  <c r="H607" i="1" a="1"/>
  <c r="H608" i="1" a="1"/>
  <c r="H609" i="1" a="1"/>
  <c r="H610" i="1" a="1"/>
  <c r="H611" i="1" a="1"/>
  <c r="H612" i="1" a="1"/>
  <c r="H613" i="1" a="1"/>
  <c r="H614" i="1" a="1"/>
  <c r="H615" i="1" a="1"/>
  <c r="H616" i="1" a="1"/>
  <c r="H617" i="1" a="1"/>
  <c r="H618" i="1" a="1"/>
  <c r="H619" i="1" a="1"/>
  <c r="H620" i="1" a="1"/>
  <c r="H621" i="1" a="1"/>
  <c r="H622" i="1" a="1"/>
  <c r="H623" i="1" a="1"/>
  <c r="H624" i="1" a="1"/>
  <c r="H625" i="1" a="1"/>
  <c r="H626" i="1" a="1"/>
  <c r="H627" i="1" a="1"/>
  <c r="H628" i="1" a="1"/>
  <c r="H629" i="1" a="1"/>
  <c r="H630" i="1" a="1"/>
  <c r="H631" i="1" a="1"/>
  <c r="H632" i="1" a="1"/>
  <c r="H633" i="1" a="1"/>
  <c r="H634" i="1" a="1"/>
  <c r="H635" i="1" a="1"/>
  <c r="H636" i="1" a="1"/>
  <c r="H637" i="1" a="1"/>
  <c r="H638" i="1" a="1"/>
  <c r="H639" i="1" a="1"/>
  <c r="H640" i="1" a="1"/>
  <c r="H641" i="1" a="1"/>
  <c r="H642" i="1" a="1"/>
  <c r="H643" i="1" a="1"/>
  <c r="H644" i="1" a="1"/>
  <c r="H645" i="1" a="1"/>
  <c r="H646" i="1" a="1"/>
  <c r="H647" i="1" a="1"/>
  <c r="H648" i="1" a="1"/>
  <c r="H649" i="1" a="1"/>
  <c r="H650" i="1" a="1"/>
  <c r="H651" i="1" a="1"/>
  <c r="H652" i="1" a="1"/>
  <c r="H653" i="1" a="1"/>
  <c r="H654" i="1" a="1"/>
  <c r="H655" i="1" a="1"/>
  <c r="H656" i="1" a="1"/>
  <c r="H657" i="1" a="1"/>
  <c r="H658" i="1" a="1"/>
  <c r="H659" i="1" a="1"/>
  <c r="H660" i="1" a="1"/>
  <c r="H661" i="1" a="1"/>
  <c r="H662" i="1" a="1"/>
  <c r="H663" i="1" a="1"/>
  <c r="H664" i="1" a="1"/>
  <c r="H665" i="1" a="1"/>
  <c r="H666" i="1" a="1"/>
  <c r="H667" i="1" a="1"/>
  <c r="H668" i="1" a="1"/>
  <c r="H669" i="1" a="1"/>
  <c r="H670" i="1" a="1"/>
  <c r="H671" i="1" a="1"/>
  <c r="H672" i="1" a="1"/>
  <c r="H673" i="1" a="1"/>
  <c r="H674" i="1" a="1"/>
  <c r="H675" i="1" a="1"/>
  <c r="H676" i="1" a="1"/>
  <c r="H677" i="1" a="1"/>
  <c r="H678" i="1" a="1"/>
  <c r="H679" i="1" a="1"/>
  <c r="H680" i="1" a="1"/>
  <c r="H681" i="1" a="1"/>
  <c r="H682" i="1" a="1"/>
  <c r="H683" i="1" a="1"/>
  <c r="H684" i="1" a="1"/>
  <c r="H685" i="1" a="1"/>
  <c r="H686" i="1" a="1"/>
  <c r="H687" i="1" a="1"/>
  <c r="H688" i="1" a="1"/>
  <c r="H689" i="1" a="1"/>
  <c r="H690" i="1" a="1"/>
  <c r="H691" i="1" a="1"/>
  <c r="H692" i="1" a="1"/>
  <c r="H693" i="1" a="1"/>
  <c r="H694" i="1" a="1"/>
  <c r="H695" i="1" a="1"/>
  <c r="H696" i="1" a="1"/>
  <c r="H697" i="1" a="1"/>
  <c r="H698" i="1" a="1"/>
  <c r="H699" i="1" a="1"/>
  <c r="H700" i="1" a="1"/>
  <c r="H701" i="1" a="1"/>
  <c r="H702" i="1" a="1"/>
  <c r="H703" i="1" a="1"/>
  <c r="H704" i="1" a="1"/>
  <c r="H705" i="1" a="1"/>
  <c r="H706" i="1" a="1"/>
  <c r="H707" i="1" a="1"/>
  <c r="H708" i="1" a="1"/>
  <c r="H709" i="1" a="1"/>
  <c r="H710" i="1" a="1"/>
  <c r="H711" i="1" a="1"/>
  <c r="H712" i="1" a="1"/>
  <c r="H713" i="1" a="1"/>
  <c r="H714" i="1" a="1"/>
  <c r="H715" i="1" a="1"/>
  <c r="H716" i="1" a="1"/>
  <c r="H717" i="1" a="1"/>
  <c r="H718" i="1" a="1"/>
  <c r="H719" i="1" a="1"/>
  <c r="H720" i="1" a="1"/>
  <c r="H721" i="1" a="1"/>
  <c r="H722" i="1" a="1"/>
  <c r="H723" i="1" a="1"/>
  <c r="H724" i="1" a="1"/>
  <c r="H725" i="1" a="1"/>
  <c r="H726" i="1" a="1"/>
  <c r="H727" i="1" a="1"/>
  <c r="H728" i="1" a="1"/>
  <c r="H729" i="1" a="1"/>
  <c r="H730" i="1" a="1"/>
  <c r="H731" i="1" a="1"/>
  <c r="H732" i="1" a="1"/>
  <c r="H733" i="1" a="1"/>
  <c r="H734" i="1" a="1"/>
  <c r="H735" i="1" a="1"/>
  <c r="H736" i="1" a="1"/>
  <c r="H737" i="1" a="1"/>
  <c r="H738" i="1" a="1"/>
  <c r="H739" i="1" a="1"/>
  <c r="H740" i="1" a="1"/>
  <c r="H741" i="1" a="1"/>
  <c r="H742" i="1" a="1"/>
  <c r="H743" i="1" a="1"/>
  <c r="H744" i="1" a="1"/>
  <c r="H745" i="1" a="1"/>
  <c r="H746" i="1" a="1"/>
  <c r="H747" i="1" a="1"/>
  <c r="H748" i="1" a="1"/>
  <c r="H749" i="1" a="1"/>
  <c r="H750" i="1" a="1"/>
  <c r="H751" i="1" a="1"/>
  <c r="H752" i="1" a="1"/>
  <c r="H753" i="1" a="1"/>
  <c r="H754" i="1" a="1"/>
  <c r="H755" i="1" a="1"/>
  <c r="H756" i="1" a="1"/>
  <c r="H757" i="1" a="1"/>
  <c r="H758" i="1" a="1"/>
  <c r="H759" i="1" a="1"/>
  <c r="H760" i="1" a="1"/>
  <c r="H761" i="1" a="1"/>
  <c r="H762" i="1" a="1"/>
  <c r="H763" i="1" a="1"/>
  <c r="H764" i="1" a="1"/>
  <c r="H765" i="1" a="1"/>
  <c r="H766" i="1" a="1"/>
  <c r="H767" i="1" a="1"/>
  <c r="H768" i="1" a="1"/>
  <c r="H769" i="1" a="1"/>
  <c r="H770" i="1" a="1"/>
  <c r="H771" i="1" a="1"/>
  <c r="H772" i="1" a="1"/>
  <c r="H773" i="1" a="1"/>
  <c r="H774" i="1" a="1"/>
  <c r="H775" i="1" a="1"/>
  <c r="H776" i="1" a="1"/>
  <c r="H777" i="1" a="1"/>
  <c r="H778" i="1" a="1"/>
  <c r="H779" i="1" a="1"/>
  <c r="H780" i="1" a="1"/>
  <c r="H781" i="1" a="1"/>
  <c r="H782" i="1" a="1"/>
  <c r="H783" i="1" a="1"/>
  <c r="H784" i="1" a="1"/>
  <c r="H785" i="1" a="1"/>
  <c r="H786" i="1" a="1"/>
  <c r="H787" i="1" a="1"/>
  <c r="H788" i="1" a="1"/>
  <c r="H789" i="1" a="1"/>
  <c r="H790" i="1" a="1"/>
  <c r="H791" i="1" a="1"/>
  <c r="H792" i="1" a="1"/>
  <c r="H793" i="1" a="1"/>
  <c r="H794" i="1" a="1"/>
  <c r="H795" i="1" a="1"/>
  <c r="H796" i="1" a="1"/>
  <c r="H797" i="1" a="1"/>
  <c r="H798" i="1" a="1"/>
  <c r="H799" i="1" a="1"/>
  <c r="H800" i="1" a="1"/>
  <c r="H801" i="1" a="1"/>
  <c r="H802" i="1" a="1"/>
  <c r="H803" i="1" a="1"/>
  <c r="H804" i="1" a="1"/>
  <c r="H805" i="1" a="1"/>
  <c r="H806" i="1" a="1"/>
  <c r="H807" i="1" a="1"/>
  <c r="H808" i="1" a="1"/>
  <c r="H809" i="1" a="1"/>
  <c r="H810" i="1" a="1"/>
  <c r="H811" i="1" a="1"/>
  <c r="H812" i="1" a="1"/>
  <c r="H813" i="1" a="1"/>
  <c r="H814" i="1" a="1"/>
  <c r="H815" i="1" a="1"/>
  <c r="H816" i="1" a="1"/>
  <c r="H817" i="1" a="1"/>
  <c r="H818" i="1" a="1"/>
  <c r="H819" i="1" a="1"/>
  <c r="H820" i="1" a="1"/>
  <c r="H821" i="1" a="1"/>
  <c r="H822" i="1" a="1"/>
  <c r="H823" i="1" a="1"/>
  <c r="H824" i="1" a="1"/>
  <c r="H825" i="1" a="1"/>
  <c r="H826" i="1" a="1"/>
  <c r="H827" i="1" a="1"/>
  <c r="H828" i="1" a="1"/>
  <c r="H829" i="1" a="1"/>
  <c r="H830" i="1" a="1"/>
  <c r="H831" i="1" a="1"/>
  <c r="H832" i="1" a="1"/>
  <c r="H833" i="1" a="1"/>
  <c r="H834" i="1" a="1"/>
  <c r="H835" i="1" a="1"/>
  <c r="H836" i="1" a="1"/>
  <c r="H837" i="1" a="1"/>
  <c r="H838" i="1" a="1"/>
  <c r="H839" i="1" a="1"/>
  <c r="H840" i="1" a="1"/>
  <c r="H841" i="1" a="1"/>
  <c r="H842" i="1" a="1"/>
  <c r="H843" i="1" a="1"/>
  <c r="H844" i="1" a="1"/>
  <c r="H845" i="1" a="1"/>
  <c r="H846" i="1" a="1"/>
  <c r="H847" i="1" a="1"/>
  <c r="H848" i="1" a="1"/>
  <c r="H849" i="1" a="1"/>
  <c r="H850" i="1" a="1"/>
  <c r="H851" i="1" a="1"/>
  <c r="H852" i="1" a="1"/>
  <c r="H853" i="1" a="1"/>
  <c r="H854" i="1" a="1"/>
  <c r="H855" i="1" a="1"/>
  <c r="H856" i="1" a="1"/>
  <c r="H857" i="1" a="1"/>
  <c r="H858" i="1" a="1"/>
  <c r="H859" i="1" a="1"/>
  <c r="H860" i="1" a="1"/>
  <c r="H861" i="1" a="1"/>
  <c r="H862" i="1" a="1"/>
  <c r="H863" i="1" a="1"/>
  <c r="H864" i="1" a="1"/>
  <c r="H865" i="1" a="1"/>
  <c r="H866" i="1" a="1"/>
  <c r="H867" i="1" a="1"/>
  <c r="H868" i="1" a="1"/>
  <c r="H869" i="1" a="1"/>
  <c r="H870" i="1" a="1"/>
  <c r="H871" i="1" a="1"/>
  <c r="H872" i="1" a="1"/>
  <c r="H873" i="1" a="1"/>
  <c r="H874" i="1" a="1"/>
  <c r="H875" i="1" a="1"/>
  <c r="H876" i="1" a="1"/>
  <c r="H877" i="1" a="1"/>
  <c r="H878" i="1" a="1"/>
  <c r="H879" i="1" a="1"/>
  <c r="H880" i="1" a="1"/>
  <c r="H881" i="1" a="1"/>
  <c r="H882" i="1" a="1"/>
  <c r="H883" i="1" a="1"/>
  <c r="H884" i="1" a="1"/>
  <c r="H885" i="1" a="1"/>
  <c r="H886" i="1" a="1"/>
  <c r="H887" i="1" a="1"/>
  <c r="H888" i="1" a="1"/>
  <c r="H889" i="1" a="1"/>
  <c r="H890" i="1" a="1"/>
  <c r="H891" i="1" a="1"/>
  <c r="H892" i="1" a="1"/>
  <c r="H893" i="1" a="1"/>
  <c r="H894" i="1" a="1"/>
  <c r="H895" i="1" a="1"/>
  <c r="H896" i="1" a="1"/>
  <c r="H897" i="1" a="1"/>
  <c r="H898" i="1" a="1"/>
  <c r="H899" i="1" a="1"/>
  <c r="H900" i="1" a="1"/>
  <c r="H901" i="1" a="1"/>
  <c r="H902" i="1" a="1"/>
  <c r="H903" i="1" a="1"/>
  <c r="H904" i="1" a="1"/>
  <c r="I24" i="1"/>
  <c r="J24" i="1" s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I95" i="1" l="1"/>
  <c r="J95" i="1" s="1"/>
  <c r="I25" i="1"/>
  <c r="J25" i="1" s="1"/>
  <c r="I23" i="1"/>
  <c r="J23" i="1" s="1"/>
  <c r="I1055" i="1"/>
  <c r="J1055" i="1" s="1"/>
  <c r="I1056" i="1"/>
  <c r="J1056" i="1" s="1"/>
  <c r="I1057" i="1"/>
  <c r="J1057" i="1" s="1"/>
  <c r="I1058" i="1"/>
  <c r="J1058" i="1" s="1"/>
  <c r="I1059" i="1"/>
  <c r="J1059" i="1" s="1"/>
  <c r="I1060" i="1"/>
  <c r="J1060" i="1" s="1"/>
  <c r="I1061" i="1"/>
  <c r="J1061" i="1" s="1"/>
  <c r="I1062" i="1"/>
  <c r="J1062" i="1" s="1"/>
  <c r="I1063" i="1"/>
  <c r="J1063" i="1" s="1"/>
  <c r="I1064" i="1"/>
  <c r="J1064" i="1" s="1"/>
  <c r="I1065" i="1"/>
  <c r="J1065" i="1" s="1"/>
  <c r="I1066" i="1"/>
  <c r="J1066" i="1" s="1"/>
  <c r="I1067" i="1"/>
  <c r="J1067" i="1" s="1"/>
  <c r="I1068" i="1"/>
  <c r="J1068" i="1" s="1"/>
  <c r="I1069" i="1"/>
  <c r="J1069" i="1" s="1"/>
  <c r="I1070" i="1"/>
  <c r="J1070" i="1" s="1"/>
  <c r="I1071" i="1"/>
  <c r="J1071" i="1" s="1"/>
  <c r="I1072" i="1"/>
  <c r="J1072" i="1" s="1"/>
  <c r="I1073" i="1"/>
  <c r="J1073" i="1" s="1"/>
  <c r="I1074" i="1"/>
  <c r="J1074" i="1" s="1"/>
  <c r="I1075" i="1"/>
  <c r="J1075" i="1" s="1"/>
  <c r="I1076" i="1"/>
  <c r="J1076" i="1" s="1"/>
  <c r="I1077" i="1"/>
  <c r="J1077" i="1" s="1"/>
  <c r="I1078" i="1"/>
  <c r="J1078" i="1" s="1"/>
  <c r="I1079" i="1"/>
  <c r="J1079" i="1" s="1"/>
  <c r="I1080" i="1"/>
  <c r="J1080" i="1" s="1"/>
  <c r="I1081" i="1"/>
  <c r="J1081" i="1"/>
  <c r="I1082" i="1"/>
  <c r="J1082" i="1" s="1"/>
  <c r="I1083" i="1"/>
  <c r="J1083" i="1" s="1"/>
  <c r="I1084" i="1"/>
  <c r="J1084" i="1" s="1"/>
  <c r="I1085" i="1"/>
  <c r="J1085" i="1" s="1"/>
  <c r="I1086" i="1"/>
  <c r="J1086" i="1" s="1"/>
  <c r="I1087" i="1"/>
  <c r="J1087" i="1" s="1"/>
  <c r="I1088" i="1"/>
  <c r="J1088" i="1" s="1"/>
  <c r="I1089" i="1"/>
  <c r="J1089" i="1" s="1"/>
  <c r="I1090" i="1"/>
  <c r="J1090" i="1" s="1"/>
  <c r="I1091" i="1"/>
  <c r="J1091" i="1" s="1"/>
  <c r="I1092" i="1"/>
  <c r="J1092" i="1" s="1"/>
  <c r="I1093" i="1"/>
  <c r="J1093" i="1" s="1"/>
  <c r="I1094" i="1"/>
  <c r="J1094" i="1" s="1"/>
  <c r="I1095" i="1"/>
  <c r="J1095" i="1" s="1"/>
  <c r="I1096" i="1"/>
  <c r="J1096" i="1" s="1"/>
  <c r="I1097" i="1"/>
  <c r="J1097" i="1" s="1"/>
  <c r="I1098" i="1"/>
  <c r="J1098" i="1" s="1"/>
  <c r="I1099" i="1"/>
  <c r="J1099" i="1" s="1"/>
  <c r="I1100" i="1"/>
  <c r="J1100" i="1" s="1"/>
  <c r="I1101" i="1"/>
  <c r="J1101" i="1" s="1"/>
  <c r="I1102" i="1"/>
  <c r="J1102" i="1" s="1"/>
  <c r="I1103" i="1"/>
  <c r="J1103" i="1" s="1"/>
  <c r="I1104" i="1"/>
  <c r="J1104" i="1" s="1"/>
  <c r="I1105" i="1"/>
  <c r="J1105" i="1" s="1"/>
  <c r="I1106" i="1"/>
  <c r="J1106" i="1"/>
  <c r="I1107" i="1"/>
  <c r="J1107" i="1" s="1"/>
  <c r="I1108" i="1"/>
  <c r="J1108" i="1" s="1"/>
  <c r="I1109" i="1"/>
  <c r="J1109" i="1" s="1"/>
  <c r="I1110" i="1"/>
  <c r="J1110" i="1" s="1"/>
  <c r="I1111" i="1"/>
  <c r="J1111" i="1" s="1"/>
  <c r="I1112" i="1"/>
  <c r="J1112" i="1" s="1"/>
  <c r="I1113" i="1"/>
  <c r="J1113" i="1" s="1"/>
  <c r="I1114" i="1"/>
  <c r="J1114" i="1"/>
  <c r="I1115" i="1"/>
  <c r="J1115" i="1" s="1"/>
  <c r="I1116" i="1"/>
  <c r="J1116" i="1" s="1"/>
  <c r="I1117" i="1"/>
  <c r="J1117" i="1" s="1"/>
  <c r="I1118" i="1"/>
  <c r="J1118" i="1" s="1"/>
  <c r="I1119" i="1"/>
  <c r="J1119" i="1" s="1"/>
  <c r="I1120" i="1"/>
  <c r="J1120" i="1" s="1"/>
  <c r="I1121" i="1"/>
  <c r="J1121" i="1" s="1"/>
  <c r="I1122" i="1"/>
  <c r="J1122" i="1" s="1"/>
  <c r="I1123" i="1"/>
  <c r="J1123" i="1"/>
  <c r="I1124" i="1"/>
  <c r="J1124" i="1" s="1"/>
  <c r="I1125" i="1"/>
  <c r="J1125" i="1" s="1"/>
  <c r="I1126" i="1"/>
  <c r="J1126" i="1" s="1"/>
  <c r="I1127" i="1"/>
  <c r="J1127" i="1" s="1"/>
  <c r="I1128" i="1"/>
  <c r="J1128" i="1" s="1"/>
  <c r="I1129" i="1"/>
  <c r="J1129" i="1" s="1"/>
  <c r="I1130" i="1"/>
  <c r="J1130" i="1" s="1"/>
  <c r="I1131" i="1"/>
  <c r="J1131" i="1"/>
  <c r="I1132" i="1"/>
  <c r="J1132" i="1" s="1"/>
  <c r="I1133" i="1"/>
  <c r="J1133" i="1"/>
  <c r="I1134" i="1"/>
  <c r="J1134" i="1" s="1"/>
  <c r="I1135" i="1"/>
  <c r="J1135" i="1" s="1"/>
  <c r="I1136" i="1"/>
  <c r="J1136" i="1" s="1"/>
  <c r="I1137" i="1"/>
  <c r="J1137" i="1" s="1"/>
  <c r="I1138" i="1"/>
  <c r="J1138" i="1" s="1"/>
  <c r="I1053" i="1"/>
  <c r="J1053" i="1" s="1"/>
  <c r="I1054" i="1"/>
  <c r="J1054" i="1" s="1"/>
  <c r="I995" i="1"/>
  <c r="J995" i="1" s="1"/>
  <c r="I996" i="1"/>
  <c r="J996" i="1" s="1"/>
  <c r="I999" i="1"/>
  <c r="J999" i="1" s="1"/>
  <c r="I1000" i="1"/>
  <c r="J1000" i="1" s="1"/>
  <c r="I1001" i="1"/>
  <c r="J1001" i="1" s="1"/>
  <c r="I1002" i="1"/>
  <c r="J1002" i="1" s="1"/>
  <c r="I1003" i="1"/>
  <c r="J1003" i="1" s="1"/>
  <c r="I1004" i="1"/>
  <c r="J1004" i="1" s="1"/>
  <c r="I1005" i="1"/>
  <c r="J1005" i="1" s="1"/>
  <c r="I1006" i="1"/>
  <c r="J1006" i="1" s="1"/>
  <c r="I1007" i="1"/>
  <c r="J1007" i="1" s="1"/>
  <c r="I1008" i="1"/>
  <c r="J1008" i="1" s="1"/>
  <c r="I1009" i="1"/>
  <c r="J1009" i="1" s="1"/>
  <c r="I1010" i="1"/>
  <c r="J1010" i="1" s="1"/>
  <c r="I1011" i="1"/>
  <c r="J1011" i="1" s="1"/>
  <c r="I1012" i="1"/>
  <c r="J1012" i="1" s="1"/>
  <c r="I1013" i="1"/>
  <c r="J1013" i="1" s="1"/>
  <c r="I1014" i="1"/>
  <c r="J1014" i="1" s="1"/>
  <c r="I1015" i="1"/>
  <c r="J1015" i="1" s="1"/>
  <c r="I1016" i="1"/>
  <c r="J1016" i="1" s="1"/>
  <c r="I1017" i="1"/>
  <c r="J1017" i="1" s="1"/>
  <c r="I1018" i="1"/>
  <c r="J1018" i="1" s="1"/>
  <c r="I1019" i="1"/>
  <c r="J1019" i="1" s="1"/>
  <c r="I1020" i="1"/>
  <c r="J1020" i="1" s="1"/>
  <c r="I1023" i="1"/>
  <c r="J1023" i="1" s="1"/>
  <c r="I1024" i="1"/>
  <c r="J1024" i="1" s="1"/>
  <c r="I1025" i="1"/>
  <c r="J1025" i="1" s="1"/>
  <c r="I1026" i="1"/>
  <c r="J1026" i="1" s="1"/>
  <c r="I1027" i="1"/>
  <c r="J1027" i="1" s="1"/>
  <c r="I1028" i="1"/>
  <c r="J1028" i="1" s="1"/>
  <c r="I1029" i="1"/>
  <c r="J1029" i="1" s="1"/>
  <c r="I1030" i="1"/>
  <c r="J1030" i="1" s="1"/>
  <c r="I1031" i="1"/>
  <c r="J1031" i="1" s="1"/>
  <c r="I1032" i="1"/>
  <c r="J1032" i="1" s="1"/>
  <c r="I1035" i="1"/>
  <c r="J1035" i="1" s="1"/>
  <c r="I1036" i="1"/>
  <c r="J1036" i="1" s="1"/>
  <c r="I1037" i="1"/>
  <c r="J1037" i="1" s="1"/>
  <c r="I1038" i="1"/>
  <c r="J1038" i="1" s="1"/>
  <c r="I1039" i="1"/>
  <c r="J1039" i="1" s="1"/>
  <c r="I1040" i="1"/>
  <c r="J1040" i="1" s="1"/>
  <c r="I1041" i="1"/>
  <c r="J1041" i="1" s="1"/>
  <c r="I1042" i="1"/>
  <c r="J1042" i="1" s="1"/>
  <c r="I1043" i="1"/>
  <c r="J1043" i="1" s="1"/>
  <c r="I1044" i="1"/>
  <c r="J1044" i="1" s="1"/>
  <c r="I1047" i="1"/>
  <c r="J1047" i="1" s="1"/>
  <c r="I1048" i="1"/>
  <c r="J1048" i="1" s="1"/>
  <c r="I1049" i="1"/>
  <c r="J1049" i="1" s="1"/>
  <c r="I1050" i="1"/>
  <c r="J1050" i="1" s="1"/>
  <c r="I1051" i="1"/>
  <c r="J1051" i="1" s="1"/>
  <c r="I997" i="1"/>
  <c r="J997" i="1" s="1"/>
  <c r="I998" i="1"/>
  <c r="J998" i="1" s="1"/>
  <c r="I1021" i="1"/>
  <c r="J1021" i="1" s="1"/>
  <c r="I1022" i="1"/>
  <c r="J1022" i="1" s="1"/>
  <c r="I1033" i="1"/>
  <c r="J1033" i="1" s="1"/>
  <c r="I1034" i="1"/>
  <c r="J1034" i="1" s="1"/>
  <c r="I1045" i="1"/>
  <c r="J1045" i="1" s="1"/>
  <c r="I1046" i="1"/>
  <c r="J1046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J923" i="1" s="1"/>
  <c r="I924" i="1"/>
  <c r="J924" i="1" s="1"/>
  <c r="I925" i="1"/>
  <c r="J925" i="1" s="1"/>
  <c r="I926" i="1"/>
  <c r="J926" i="1" s="1"/>
  <c r="I927" i="1"/>
  <c r="J927" i="1" s="1"/>
  <c r="I928" i="1"/>
  <c r="J928" i="1" s="1"/>
  <c r="I929" i="1"/>
  <c r="J929" i="1" s="1"/>
  <c r="I930" i="1"/>
  <c r="J930" i="1" s="1"/>
  <c r="I931" i="1"/>
  <c r="J931" i="1" s="1"/>
  <c r="I932" i="1"/>
  <c r="J932" i="1" s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7" i="1"/>
  <c r="J947" i="1" s="1"/>
  <c r="I948" i="1"/>
  <c r="J948" i="1" s="1"/>
  <c r="I949" i="1"/>
  <c r="J949" i="1" s="1"/>
  <c r="I950" i="1"/>
  <c r="J950" i="1" s="1"/>
  <c r="I951" i="1"/>
  <c r="J951" i="1" s="1"/>
  <c r="I952" i="1"/>
  <c r="J952" i="1" s="1"/>
  <c r="I953" i="1"/>
  <c r="J953" i="1" s="1"/>
  <c r="I954" i="1"/>
  <c r="J954" i="1" s="1"/>
  <c r="I955" i="1"/>
  <c r="J955" i="1" s="1"/>
  <c r="I956" i="1"/>
  <c r="J956" i="1" s="1"/>
  <c r="I957" i="1"/>
  <c r="J957" i="1" s="1"/>
  <c r="I958" i="1"/>
  <c r="J958" i="1" s="1"/>
  <c r="I959" i="1"/>
  <c r="J959" i="1" s="1"/>
  <c r="I960" i="1"/>
  <c r="J960" i="1" s="1"/>
  <c r="I961" i="1"/>
  <c r="J961" i="1" s="1"/>
  <c r="I962" i="1"/>
  <c r="J962" i="1" s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I971" i="1"/>
  <c r="J971" i="1" s="1"/>
  <c r="I972" i="1"/>
  <c r="J972" i="1" s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J978" i="1" s="1"/>
  <c r="I979" i="1"/>
  <c r="J979" i="1" s="1"/>
  <c r="I980" i="1"/>
  <c r="J980" i="1" s="1"/>
  <c r="I981" i="1"/>
  <c r="J981" i="1" s="1"/>
  <c r="I982" i="1"/>
  <c r="J982" i="1" s="1"/>
  <c r="I983" i="1"/>
  <c r="J983" i="1" s="1"/>
  <c r="I984" i="1"/>
  <c r="J984" i="1" s="1"/>
  <c r="I985" i="1"/>
  <c r="J985" i="1" s="1"/>
  <c r="I986" i="1"/>
  <c r="J986" i="1" s="1"/>
  <c r="I987" i="1"/>
  <c r="J987" i="1" s="1"/>
  <c r="I988" i="1"/>
  <c r="J988" i="1" s="1"/>
  <c r="I989" i="1"/>
  <c r="J989" i="1" s="1"/>
  <c r="I990" i="1"/>
  <c r="J990" i="1" s="1"/>
  <c r="I991" i="1"/>
  <c r="J991" i="1" s="1"/>
  <c r="I992" i="1"/>
  <c r="J992" i="1" s="1"/>
  <c r="I993" i="1"/>
  <c r="J993" i="1" s="1"/>
  <c r="I994" i="1"/>
  <c r="J994" i="1" s="1"/>
  <c r="I907" i="1"/>
  <c r="J907" i="1" s="1"/>
  <c r="I908" i="1"/>
  <c r="J90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J2" i="2" l="1"/>
  <c r="J3" i="2"/>
  <c r="J4" i="2"/>
  <c r="J5" i="2"/>
  <c r="J6" i="2"/>
  <c r="J7" i="2"/>
  <c r="J9" i="2"/>
  <c r="J10" i="2"/>
  <c r="J11" i="2"/>
  <c r="J12" i="2"/>
  <c r="J13" i="2"/>
  <c r="J14" i="2"/>
  <c r="J15" i="2"/>
  <c r="J16" i="2"/>
  <c r="J17" i="2"/>
  <c r="J18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I2" i="2"/>
  <c r="I3" i="2"/>
  <c r="I4" i="2"/>
  <c r="I5" i="2"/>
  <c r="I6" i="2"/>
  <c r="I7" i="2"/>
  <c r="I9" i="2"/>
  <c r="I10" i="2"/>
  <c r="I11" i="2"/>
  <c r="I12" i="2"/>
  <c r="I13" i="2"/>
  <c r="I14" i="2"/>
  <c r="I15" i="2"/>
  <c r="I16" i="2"/>
  <c r="I17" i="2"/>
  <c r="I18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H3" i="2"/>
  <c r="H4" i="2"/>
  <c r="H5" i="2"/>
  <c r="H6" i="2"/>
  <c r="H7" i="2"/>
  <c r="H8" i="2"/>
  <c r="I8" i="2" s="1"/>
  <c r="J8" i="2" s="1"/>
  <c r="H9" i="2"/>
  <c r="H10" i="2"/>
  <c r="H11" i="2"/>
  <c r="H12" i="2"/>
  <c r="H13" i="2"/>
  <c r="H14" i="2"/>
  <c r="H15" i="2"/>
  <c r="H16" i="2"/>
  <c r="H17" i="2"/>
  <c r="H18" i="2"/>
  <c r="H19" i="2"/>
  <c r="I19" i="2" s="1"/>
  <c r="J19" i="2" s="1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2" i="2"/>
  <c r="I263" i="1"/>
  <c r="J263" i="1" s="1"/>
  <c r="I239" i="1"/>
  <c r="J239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7" i="1"/>
  <c r="J27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7" i="1"/>
  <c r="J577" i="1" s="1"/>
  <c r="I578" i="1"/>
  <c r="J578" i="1" s="1"/>
  <c r="I579" i="1"/>
  <c r="J579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J746" i="1" s="1"/>
  <c r="I748" i="1"/>
  <c r="J748" i="1" s="1"/>
  <c r="I749" i="1"/>
  <c r="J749" i="1" s="1"/>
  <c r="I750" i="1"/>
  <c r="J750" i="1" s="1"/>
  <c r="I752" i="1"/>
  <c r="J752" i="1" s="1"/>
  <c r="I753" i="1"/>
  <c r="J753" i="1" s="1"/>
  <c r="I754" i="1"/>
  <c r="J754" i="1" s="1"/>
  <c r="I755" i="1"/>
  <c r="J755" i="1" s="1"/>
  <c r="I756" i="1"/>
  <c r="J756" i="1" s="1"/>
  <c r="I757" i="1"/>
  <c r="J757" i="1" s="1"/>
  <c r="I758" i="1"/>
  <c r="J758" i="1" s="1"/>
  <c r="I759" i="1"/>
  <c r="J759" i="1" s="1"/>
  <c r="I760" i="1"/>
  <c r="J760" i="1" s="1"/>
  <c r="I761" i="1"/>
  <c r="J761" i="1" s="1"/>
  <c r="I762" i="1"/>
  <c r="J762" i="1" s="1"/>
  <c r="I763" i="1"/>
  <c r="J763" i="1" s="1"/>
  <c r="I764" i="1"/>
  <c r="J764" i="1" s="1"/>
  <c r="I765" i="1"/>
  <c r="J765" i="1" s="1"/>
  <c r="I767" i="1"/>
  <c r="J767" i="1" s="1"/>
  <c r="I768" i="1"/>
  <c r="J768" i="1" s="1"/>
  <c r="I769" i="1"/>
  <c r="J769" i="1" s="1"/>
  <c r="I770" i="1"/>
  <c r="J770" i="1" s="1"/>
  <c r="I771" i="1"/>
  <c r="J771" i="1" s="1"/>
  <c r="I772" i="1"/>
  <c r="J772" i="1" s="1"/>
  <c r="I774" i="1"/>
  <c r="J774" i="1" s="1"/>
  <c r="I775" i="1"/>
  <c r="J775" i="1" s="1"/>
  <c r="I776" i="1"/>
  <c r="J776" i="1" s="1"/>
  <c r="I778" i="1"/>
  <c r="J778" i="1" s="1"/>
  <c r="I779" i="1"/>
  <c r="J779" i="1" s="1"/>
  <c r="I780" i="1"/>
  <c r="J780" i="1" s="1"/>
  <c r="I781" i="1"/>
  <c r="J781" i="1" s="1"/>
  <c r="I783" i="1"/>
  <c r="J783" i="1" s="1"/>
  <c r="I784" i="1"/>
  <c r="J784" i="1" s="1"/>
  <c r="I785" i="1"/>
  <c r="J785" i="1" s="1"/>
  <c r="I786" i="1"/>
  <c r="J786" i="1" s="1"/>
  <c r="I787" i="1"/>
  <c r="J787" i="1" s="1"/>
  <c r="I788" i="1"/>
  <c r="J788" i="1" s="1"/>
  <c r="I789" i="1"/>
  <c r="J789" i="1" s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J795" i="1" s="1"/>
  <c r="I796" i="1"/>
  <c r="J796" i="1" s="1"/>
  <c r="I798" i="1"/>
  <c r="J798" i="1" s="1"/>
  <c r="I799" i="1"/>
  <c r="J799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J807" i="1" s="1"/>
  <c r="I808" i="1"/>
  <c r="J808" i="1" s="1"/>
  <c r="I810" i="1"/>
  <c r="J810" i="1" s="1"/>
  <c r="I811" i="1"/>
  <c r="J811" i="1" s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J891" i="1" s="1"/>
  <c r="I892" i="1"/>
  <c r="J892" i="1" s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 l="1"/>
  <c r="J904" i="1" s="1"/>
  <c r="I28" i="1"/>
  <c r="J28" i="1" s="1"/>
  <c r="I4" i="1"/>
  <c r="J4" i="1" s="1"/>
  <c r="I3" i="1"/>
  <c r="J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<sst xmlns="http://schemas.openxmlformats.org/spreadsheetml/2006/main" count="5139" uniqueCount="2307">
  <si>
    <t>ITEM CODE</t>
  </si>
  <si>
    <t>PRODUCT NAME</t>
  </si>
  <si>
    <t>SUPPLIER</t>
  </si>
  <si>
    <t>ORDER QUANTITY</t>
  </si>
  <si>
    <t>REMARKS</t>
  </si>
  <si>
    <t>COST PRICE</t>
  </si>
  <si>
    <t>SALE PRICE</t>
  </si>
  <si>
    <t>DRINKS</t>
  </si>
  <si>
    <t/>
  </si>
  <si>
    <t>ATH-DRK001</t>
  </si>
  <si>
    <t>MINERAL WATER 12X1.5LTR</t>
  </si>
  <si>
    <t>ATH-DRK002</t>
  </si>
  <si>
    <t>MINERAL WATER 24X500ML</t>
  </si>
  <si>
    <t>ATH-DRK003</t>
  </si>
  <si>
    <t>MINERAL WATER WITH GAS 8X2L</t>
  </si>
  <si>
    <t>ATH-DRK004</t>
  </si>
  <si>
    <t>MINERAL WATER WITH GAS 24X500ML</t>
  </si>
  <si>
    <t>ATH-DRK005</t>
  </si>
  <si>
    <t>COCA COLA CAN 24X330ML</t>
  </si>
  <si>
    <t>ATH-DRK006</t>
  </si>
  <si>
    <t>COCA COLA DIET CAN 24X330ML</t>
  </si>
  <si>
    <t>ATH-DRK007</t>
  </si>
  <si>
    <t>FANTA LEMON CAN 24X330ML</t>
  </si>
  <si>
    <t>ATH-DRK008</t>
  </si>
  <si>
    <t>FANTA ORANGE CAN 24X330ML</t>
  </si>
  <si>
    <t>ATH-DRK009</t>
  </si>
  <si>
    <t>SPRITE CAN 24X330ML</t>
  </si>
  <si>
    <t>PEPSI/DIET PEPSI 24X330ML</t>
  </si>
  <si>
    <t>ATH-DRK011</t>
  </si>
  <si>
    <t>7UP 24X330ML</t>
  </si>
  <si>
    <t>ATH-DRK012</t>
  </si>
  <si>
    <t>RIO TROPICAL 24X330ML</t>
  </si>
  <si>
    <t>ATH-DRK013</t>
  </si>
  <si>
    <t>IRN BRU 24X330ML</t>
  </si>
  <si>
    <t>ATH-DRK014</t>
  </si>
  <si>
    <t>FLAVOURED WATER 12X500ML</t>
  </si>
  <si>
    <t>ATH-DRK015</t>
  </si>
  <si>
    <t>AYRAN BOTTLES 20X250ML</t>
  </si>
  <si>
    <t>JUICES</t>
  </si>
  <si>
    <t>ATH-JCE001</t>
  </si>
  <si>
    <t>ORANGE JUICE 12X1LTR</t>
  </si>
  <si>
    <t>ATH-JCE002</t>
  </si>
  <si>
    <t>APPLE JUICE 12X1LTR</t>
  </si>
  <si>
    <t>ATH-JCE003</t>
  </si>
  <si>
    <t>TROPICAL JUICE 12X1LTR</t>
  </si>
  <si>
    <t>ATH-JCE004</t>
  </si>
  <si>
    <t>PINEAPPLE JUICE 12X1LTR</t>
  </si>
  <si>
    <t>ATH-JCE005</t>
  </si>
  <si>
    <t>MANGO JUICE 12X1LTR</t>
  </si>
  <si>
    <t>ATH-JCE006</t>
  </si>
  <si>
    <t>GRAPEFRUIT JUICE 12X1LTR</t>
  </si>
  <si>
    <t>ATH-JCE007</t>
  </si>
  <si>
    <t>TOMATO JUICE 12X1LTR</t>
  </si>
  <si>
    <t>ATH-JCE008</t>
  </si>
  <si>
    <t>CRANBERRY JUICE 12X1LTR</t>
  </si>
  <si>
    <t>ATH-JCE009</t>
  </si>
  <si>
    <t>GRAPE JUICE 12X1LTR</t>
  </si>
  <si>
    <t>ATH-JCE010</t>
  </si>
  <si>
    <t>ORANGE CORDIAL 2X5LTR</t>
  </si>
  <si>
    <t>ATH-JCE011</t>
  </si>
  <si>
    <t>LIME CORDIAL 2X5LTR</t>
  </si>
  <si>
    <t>ATH-JCE012</t>
  </si>
  <si>
    <t>LEMON CORDIAL 2X5LTR</t>
  </si>
  <si>
    <t>ATH-JCE013</t>
  </si>
  <si>
    <t>BLACKCURRANT CORDIAL 2X5LTR</t>
  </si>
  <si>
    <t>MILK</t>
  </si>
  <si>
    <t>ATH-MLK001</t>
  </si>
  <si>
    <t>CHOCOLATE MILK 10X400ML</t>
  </si>
  <si>
    <t>ATH-MLK002</t>
  </si>
  <si>
    <t>BANANA MILK 10X400ML</t>
  </si>
  <si>
    <t>ATH-MLK003</t>
  </si>
  <si>
    <t>STRAWBERRY MILK 10X400ML</t>
  </si>
  <si>
    <t>ATH-MLK004</t>
  </si>
  <si>
    <t>LONG LIFE OAT MILK 12X1LTR</t>
  </si>
  <si>
    <t>ATH-MLK005</t>
  </si>
  <si>
    <t>LONG LIFE SKIMMED MILK UHT 12X1LTR</t>
  </si>
  <si>
    <t>ATH-MLK006</t>
  </si>
  <si>
    <t>COCONUT MILK 12X400ML</t>
  </si>
  <si>
    <t>ATH-MLK007</t>
  </si>
  <si>
    <t>CONDENSED MILK 6X397G</t>
  </si>
  <si>
    <t>ATH-MLK008</t>
  </si>
  <si>
    <t>EVAPORATED MILK 12X410G</t>
  </si>
  <si>
    <t>ATH-MLK009</t>
  </si>
  <si>
    <t>COFFEE MATE 1X2.5KG</t>
  </si>
  <si>
    <t>ATH-MLK010</t>
  </si>
  <si>
    <t>COFFEE MATE 6X325G</t>
  </si>
  <si>
    <t>ATH-MLK011</t>
  </si>
  <si>
    <t>NESQUIK COCOA 10X300G</t>
  </si>
  <si>
    <t>COFFEE</t>
  </si>
  <si>
    <t>ATH-COF001</t>
  </si>
  <si>
    <t>GROUND COFFEE 8X1KG</t>
  </si>
  <si>
    <t>ATH-COF002</t>
  </si>
  <si>
    <t>GROUND COFFEE 1KG</t>
  </si>
  <si>
    <t>ATH-COF003</t>
  </si>
  <si>
    <t>COFFEE BEANS 8X1KG</t>
  </si>
  <si>
    <t>ATH-COF004</t>
  </si>
  <si>
    <t>COFFEE BEANS 1KG</t>
  </si>
  <si>
    <t>ATH-COF005</t>
  </si>
  <si>
    <t>NESCAFE ORIGINAL INSTANT COFFEE 1KG</t>
  </si>
  <si>
    <t>ATH-COF006</t>
  </si>
  <si>
    <t>NESCAFE GOLD BLEND 6X100G</t>
  </si>
  <si>
    <t>ATH-COF007</t>
  </si>
  <si>
    <t>LYONS RICH ROAST INSTANT COFFEE 0.75KG</t>
  </si>
  <si>
    <t>ATH-COF008</t>
  </si>
  <si>
    <t>TEA BAGS YORKSHIRE 1040NO</t>
  </si>
  <si>
    <t>ATH-COF009</t>
  </si>
  <si>
    <t>TEA BAGS TETLEY 1100NO</t>
  </si>
  <si>
    <t>ATH-COF010</t>
  </si>
  <si>
    <t>PEPPERMINT TEA BAGS 1X100NO</t>
  </si>
  <si>
    <t>ATH-COF011</t>
  </si>
  <si>
    <t>FRUIT TEA BAGS 1X120NO</t>
  </si>
  <si>
    <t>ATH-COF012</t>
  </si>
  <si>
    <t>Turkish Black Tea 0.5KG</t>
  </si>
  <si>
    <t>ATH-COF013</t>
  </si>
  <si>
    <t>GREEN TEA BAGS 1X100NO</t>
  </si>
  <si>
    <t>CANNED VEGETABLES</t>
  </si>
  <si>
    <t>ATH-VEG001</t>
  </si>
  <si>
    <t>BAKED BEANS 6X840G</t>
  </si>
  <si>
    <t>ATH-VEG002</t>
  </si>
  <si>
    <t>BAKED BEANS 6X2.6KG</t>
  </si>
  <si>
    <t>ATH-VEG003</t>
  </si>
  <si>
    <t>BAKED BEANS 12X400G</t>
  </si>
  <si>
    <t>ATH-VEG004</t>
  </si>
  <si>
    <t>BAMBOO SHOOTS SLICES 6X2.95G</t>
  </si>
  <si>
    <t>ATH-VEG005</t>
  </si>
  <si>
    <t>BUTTON MUSHROOMS 12X285G</t>
  </si>
  <si>
    <t>ATH-VEG006</t>
  </si>
  <si>
    <t>SLICED MUSHROOMS 12X285G</t>
  </si>
  <si>
    <t>ATH-VEG007</t>
  </si>
  <si>
    <t>ATH-VEG008</t>
  </si>
  <si>
    <t>MARROWFAT GREEN PEAS 24X300G</t>
  </si>
  <si>
    <t>ATH-VEG009</t>
  </si>
  <si>
    <t>MUSHY PEAS IN TIN 24X300G</t>
  </si>
  <si>
    <t>ATH-VEG010</t>
  </si>
  <si>
    <t>MIXED VEGETABLES 24X300G</t>
  </si>
  <si>
    <t>ATH-VEG011</t>
  </si>
  <si>
    <t>SLICED CARROTS 12X300G</t>
  </si>
  <si>
    <t>ATH-VEG012</t>
  </si>
  <si>
    <t>SAUERKRAURT 1X680G</t>
  </si>
  <si>
    <t>ATH-VEG013</t>
  </si>
  <si>
    <t>SWEET CORN 12X340G</t>
  </si>
  <si>
    <t>ATH-VEG014</t>
  </si>
  <si>
    <t>RED KIDNEY BEANS 12X400G</t>
  </si>
  <si>
    <t>ATH-VEG015</t>
  </si>
  <si>
    <t>BEETROOT SLICED 6X340G</t>
  </si>
  <si>
    <t>CANNED TOMATOES</t>
  </si>
  <si>
    <t>ATH-TOM001</t>
  </si>
  <si>
    <t>TOMATO PASTE 12X800G</t>
  </si>
  <si>
    <t>ATH-TOM002</t>
  </si>
  <si>
    <t>TOMATO PASTE TURKISH 4.35KG</t>
  </si>
  <si>
    <t>ATH-TOM003</t>
  </si>
  <si>
    <t>TOMATO PUREE 6X850G</t>
  </si>
  <si>
    <t>ATH-TOM004</t>
  </si>
  <si>
    <t>WHOLE PEELED TOMATO 6X800G</t>
  </si>
  <si>
    <t>ATH-TOM005</t>
  </si>
  <si>
    <t>WHOLE PEELED TOMATO 6X2.6KG</t>
  </si>
  <si>
    <t>ATH-TOM006</t>
  </si>
  <si>
    <t>CHOPPED TOMATO 6X2.6KG</t>
  </si>
  <si>
    <t>CANNED FISH</t>
  </si>
  <si>
    <t>ATH-FSH001</t>
  </si>
  <si>
    <t>ANCHOVY FILLET IN OIL 365G</t>
  </si>
  <si>
    <t>ATH-FSH002</t>
  </si>
  <si>
    <t>PILCHARDS IN TOMATO 400G</t>
  </si>
  <si>
    <t>ATH-FSH003</t>
  </si>
  <si>
    <t>SARDINES IN SUNFLOWER OIL 120G</t>
  </si>
  <si>
    <t>ATH-FSH004</t>
  </si>
  <si>
    <t>SARDINES IN TOMATO 120G</t>
  </si>
  <si>
    <t>ATH-FSH005</t>
  </si>
  <si>
    <t>TUNA CHUNKS IN BRINE 12X145G</t>
  </si>
  <si>
    <t>ATH-FSH006</t>
  </si>
  <si>
    <t>TUNA CHUNKS IN OIL 12X145G</t>
  </si>
  <si>
    <t>ATH-FSH007</t>
  </si>
  <si>
    <t>RED SALMON IN TIN 6X212G</t>
  </si>
  <si>
    <t>ATH-FSH008</t>
  </si>
  <si>
    <t>MACKREL IN OIL 120G</t>
  </si>
  <si>
    <t>ATH-FSH009</t>
  </si>
  <si>
    <t>MACKEREL IN TOMATO 120G</t>
  </si>
  <si>
    <t>ATH-FSH010</t>
  </si>
  <si>
    <t>PINK SALMON IN TIN 6X212G</t>
  </si>
  <si>
    <t>ATH-FSH011</t>
  </si>
  <si>
    <t>CRAB MEAT 6X170G</t>
  </si>
  <si>
    <t>ATH-FSH012</t>
  </si>
  <si>
    <t>ANCHOVY DRY</t>
  </si>
  <si>
    <t>CANNED MEAT</t>
  </si>
  <si>
    <t>ATH-MET001</t>
  </si>
  <si>
    <t>CORNED BEEF 12X340G</t>
  </si>
  <si>
    <t>ATH-MET002</t>
  </si>
  <si>
    <t>PORK LUNCHEON MEAT 12X300G</t>
  </si>
  <si>
    <t>ATH-MET003</t>
  </si>
  <si>
    <t>HAM IN TIN 6X340G</t>
  </si>
  <si>
    <t>ATH-MET004</t>
  </si>
  <si>
    <t>HOT DOG SAUSAGE IN TIN 12X400G</t>
  </si>
  <si>
    <t>ATH-MET005</t>
  </si>
  <si>
    <t>Chicken Liver Pâté 1.05KG</t>
  </si>
  <si>
    <t>CANNED FRUIT</t>
  </si>
  <si>
    <t>ATH-FRT001</t>
  </si>
  <si>
    <t>FRUIT COCKTAIL 2.6KG</t>
  </si>
  <si>
    <t>ATH-FRT002</t>
  </si>
  <si>
    <t>LYCHEES 425G</t>
  </si>
  <si>
    <t>ATH-FRT003</t>
  </si>
  <si>
    <t>APRICOTS HALVES IN LIGHT SYRUP 2.5KG</t>
  </si>
  <si>
    <t>ATH-FRT004</t>
  </si>
  <si>
    <t>PEACH SLICES 2.5KG</t>
  </si>
  <si>
    <t>ATH-FRT005</t>
  </si>
  <si>
    <t>PEARS HALVES IN LIGHT SYRUP 2.5KG</t>
  </si>
  <si>
    <t>ATH-FRT006</t>
  </si>
  <si>
    <t>PINEAPPLE  SLICED 6X820G</t>
  </si>
  <si>
    <t>ATH-FRT007</t>
  </si>
  <si>
    <t>STRAWBERRIES IN TIN 6X400G</t>
  </si>
  <si>
    <t>ATH-FRT008</t>
  </si>
  <si>
    <t>PACK APPLE 2.6KG</t>
  </si>
  <si>
    <t>ATH-FRT009</t>
  </si>
  <si>
    <t>MANDARIN ORANGES IN LIGHT SYRUP 2.5KG</t>
  </si>
  <si>
    <t>SAUCES</t>
  </si>
  <si>
    <t>ATH-SAU001</t>
  </si>
  <si>
    <t>MAYONNAISE  HEINZ 10X400ML</t>
  </si>
  <si>
    <t>ATH-SAU002</t>
  </si>
  <si>
    <t>MAYONNAISE 6X1L</t>
  </si>
  <si>
    <t>ATH-SAU003</t>
  </si>
  <si>
    <t>MAYONNAISE 5L</t>
  </si>
  <si>
    <t>ATH-SAU004</t>
  </si>
  <si>
    <t>TARTAR SAUCE 2.5L</t>
  </si>
  <si>
    <t>ATH-SAU005</t>
  </si>
  <si>
    <t>1000 ISLAND DRESSING 6X250ML</t>
  </si>
  <si>
    <t>ATH-SAU006</t>
  </si>
  <si>
    <t>FRENCH DRESSSING 6X1L</t>
  </si>
  <si>
    <t>ATH-SAU007</t>
  </si>
  <si>
    <t>ITALIAN DRESSSING 500ML</t>
  </si>
  <si>
    <t>ATH-SAU008</t>
  </si>
  <si>
    <t>SALAD CREAM 10X400ML</t>
  </si>
  <si>
    <t>ATH-SAU009</t>
  </si>
  <si>
    <t>MALT VINEGAR 12X248ML</t>
  </si>
  <si>
    <t>ATH-SAU010</t>
  </si>
  <si>
    <t>VINEGAR  WHITE 3LTR</t>
  </si>
  <si>
    <t>ATH-SAU011</t>
  </si>
  <si>
    <t>TOMATO KETCHUP HEINZ 10X342G</t>
  </si>
  <si>
    <t>ATH-SAU012</t>
  </si>
  <si>
    <t>TOMATO KETCUP P/L 8X460G</t>
  </si>
  <si>
    <t>ATH-SAU013</t>
  </si>
  <si>
    <t>TOMATO KETCHUP 6X1LTR</t>
  </si>
  <si>
    <t>ATH-SAU014</t>
  </si>
  <si>
    <t>TOMATO KETCHUP HEINZ 4LTR</t>
  </si>
  <si>
    <t>ATH-SAU015</t>
  </si>
  <si>
    <t>ENGLISH MUSTARD 8X100G</t>
  </si>
  <si>
    <t>ATH-SAU016</t>
  </si>
  <si>
    <t>FRENCH MUSTARD 8X226G</t>
  </si>
  <si>
    <t>ATH-SAU017</t>
  </si>
  <si>
    <t>DIJON MUSTARD 2.27LTR</t>
  </si>
  <si>
    <t>ATH-SAU018</t>
  </si>
  <si>
    <t>PICALILLI 6X360G</t>
  </si>
  <si>
    <t>ATH-SAU019</t>
  </si>
  <si>
    <t>WHOLE GHERKINS 2.45KG</t>
  </si>
  <si>
    <t>ATH-SAU020</t>
  </si>
  <si>
    <t>PICKLED CHILLI PEPPERS GREEK STYLE 9KG</t>
  </si>
  <si>
    <t>ATH-SAU021</t>
  </si>
  <si>
    <t>WHOLE GHERKINS TURKISH 10LTR</t>
  </si>
  <si>
    <t>ATH-SAU022</t>
  </si>
  <si>
    <t>MIXED VEGETABLE PICKLES 1.61KG</t>
  </si>
  <si>
    <t>ATH-SAU023</t>
  </si>
  <si>
    <t>ROASTED AUBERGINES 1.55KG</t>
  </si>
  <si>
    <t>ATH-SAU024</t>
  </si>
  <si>
    <t>PICKLED ONIONS 2.25KG</t>
  </si>
  <si>
    <t>ATH-SAU025</t>
  </si>
  <si>
    <t>ROASTED RED PEPPERS 1.65KG</t>
  </si>
  <si>
    <t>ATH-SAU026</t>
  </si>
  <si>
    <t>MAGGI LIQUID SEASONING 6X1LTR</t>
  </si>
  <si>
    <t>ATH-SAU027</t>
  </si>
  <si>
    <t>HOT CHILLI SAUCE RED TABASCO 12X57ML</t>
  </si>
  <si>
    <t>ATH-SAU028</t>
  </si>
  <si>
    <t>WORCHESTERSHIRE SAUCE 6X568ML</t>
  </si>
  <si>
    <t>ATH-SAU029</t>
  </si>
  <si>
    <t>HOT CHILLI SAUCE 6X455ML</t>
  </si>
  <si>
    <t>ATH-SAU030</t>
  </si>
  <si>
    <t>SOY SAUCE 6X1150ML</t>
  </si>
  <si>
    <t>ATH-SAU031</t>
  </si>
  <si>
    <t>SOYA  SAUCE 1.9LTR</t>
  </si>
  <si>
    <t>ATH-SAU032</t>
  </si>
  <si>
    <t>SWEET AND SOUR SAUCE 6X450G</t>
  </si>
  <si>
    <t>ATH-SAU033</t>
  </si>
  <si>
    <t>HP SAUCE 12X255G</t>
  </si>
  <si>
    <t>ATH-SAU034</t>
  </si>
  <si>
    <t>OYSTER SAUCE 1LTR</t>
  </si>
  <si>
    <t>ATH-SAU035</t>
  </si>
  <si>
    <t>CHILLI GARLIC STIR FRY SAUCE 12X120G</t>
  </si>
  <si>
    <t>ATH-SAU036</t>
  </si>
  <si>
    <t>BBQ SAUCE HEINZ 10X480ML</t>
  </si>
  <si>
    <t>ATH-SAU037</t>
  </si>
  <si>
    <t>TACOS SAUCE SALSA 8X238G</t>
  </si>
  <si>
    <t>ATH-SAU038</t>
  </si>
  <si>
    <t>GOLDEN SYRUP 6X454G</t>
  </si>
  <si>
    <t>ATH-SAU039</t>
  </si>
  <si>
    <t>SWEET CHILLI SAUCE 12X730ML</t>
  </si>
  <si>
    <t>ATH-SAU040</t>
  </si>
  <si>
    <t>SWEET CHILLI SAUCE 6X1LTR</t>
  </si>
  <si>
    <t>ATH-SAU041</t>
  </si>
  <si>
    <t>MINT SAUCE 6X1LTR</t>
  </si>
  <si>
    <t>ATH-SAU042</t>
  </si>
  <si>
    <t>TERIYAKI SAUCE 975ML</t>
  </si>
  <si>
    <t>ATH-SAU043</t>
  </si>
  <si>
    <t>SWEET MANGO CHUTNEY 1.2KG</t>
  </si>
  <si>
    <t>ATH-SAU044</t>
  </si>
  <si>
    <t>SATAY SAUCE 1KG</t>
  </si>
  <si>
    <t>ATH-SAU045</t>
  </si>
  <si>
    <t>BBQ SAUCE PORTIONS 200NO</t>
  </si>
  <si>
    <t>ATH-SAU046</t>
  </si>
  <si>
    <t>SALAD CREAM PORTIONS 200NO</t>
  </si>
  <si>
    <t>ATH-SAU047</t>
  </si>
  <si>
    <t>SWEET CHILLI PORTIONS 200NO</t>
  </si>
  <si>
    <t>ATH-SAU048</t>
  </si>
  <si>
    <t>KETCHUP PORTIONS 200NO</t>
  </si>
  <si>
    <t>ATH-SAU049</t>
  </si>
  <si>
    <t>MUSTARD PORTIONS 200NO</t>
  </si>
  <si>
    <t>ATH-SAU050</t>
  </si>
  <si>
    <t>MAYONNAISE PORTIONS 200NO</t>
  </si>
  <si>
    <t>COOKING SAUCES</t>
  </si>
  <si>
    <t>ATH-CKS001</t>
  </si>
  <si>
    <t>DEMI GLACE 1.5KG</t>
  </si>
  <si>
    <t>ATH-CKS002</t>
  </si>
  <si>
    <t>BECHAMEL SAUCE MIX 2KG</t>
  </si>
  <si>
    <t>ATH-CKS003</t>
  </si>
  <si>
    <t>HOLLANDAISE SAUCE 1LTR</t>
  </si>
  <si>
    <t>ATH-CKS004</t>
  </si>
  <si>
    <t>PEPPER SAUCE MIX 2KG</t>
  </si>
  <si>
    <t>ATH-CKS005</t>
  </si>
  <si>
    <t>BEEF BOUILLION PASTE 1KG</t>
  </si>
  <si>
    <t>ATH-CKS006</t>
  </si>
  <si>
    <t>CHICKEN BOUILLON 1KG</t>
  </si>
  <si>
    <t>ATH-CKS007</t>
  </si>
  <si>
    <t>VEGTABLE STOCK POWDER 1KG</t>
  </si>
  <si>
    <t>ATH-CKS008</t>
  </si>
  <si>
    <t>FISH STOCK PASTE 1KG</t>
  </si>
  <si>
    <t>ATH-CKS009</t>
  </si>
  <si>
    <t>GRAVY MIX 2KG</t>
  </si>
  <si>
    <t>ATH-CKS010</t>
  </si>
  <si>
    <t>VEG STOCK CUBES 60NO</t>
  </si>
  <si>
    <t>ATH-CKS011</t>
  </si>
  <si>
    <t>CHICKEN CUBES 60NO</t>
  </si>
  <si>
    <t>ATH-CKS012</t>
  </si>
  <si>
    <t>BEEF STOCK IN CUBES 60NO</t>
  </si>
  <si>
    <t>ATH-CKS013</t>
  </si>
  <si>
    <t>PASTA  SAUCE 6X350G</t>
  </si>
  <si>
    <t>ATH-CKS014</t>
  </si>
  <si>
    <t>MADRAS PASTE 2.2LTR</t>
  </si>
  <si>
    <t>ATH-CKS015</t>
  </si>
  <si>
    <t>KORMA PASTE 2.27LTR</t>
  </si>
  <si>
    <t>ATH-CKS016</t>
  </si>
  <si>
    <t>ROGAN JOSH PASTE 6X450G</t>
  </si>
  <si>
    <t>ATH-CKS017</t>
  </si>
  <si>
    <t>RED THAI CURRY PASTE 1.15KG</t>
  </si>
  <si>
    <t>ATH-CKS018</t>
  </si>
  <si>
    <t>GREEN CURRY PASTE 1.15KG</t>
  </si>
  <si>
    <t>ATH-CKS019</t>
  </si>
  <si>
    <t>OLIVES - BLACK PITTED 4.15KG</t>
  </si>
  <si>
    <t>ATH-CKS020</t>
  </si>
  <si>
    <t>OLIVES  -  BLACK TURKISH 10KG</t>
  </si>
  <si>
    <t>ATH-CKS021</t>
  </si>
  <si>
    <t>OLIVES - GREEN TURKISH 10KG</t>
  </si>
  <si>
    <t>ATH-CKS022</t>
  </si>
  <si>
    <t>OLIVES - GREEN PITTED 4.15KG</t>
  </si>
  <si>
    <t>SOUP POWDER</t>
  </si>
  <si>
    <t>ATH-SUP001</t>
  </si>
  <si>
    <t>ATH-SUP002</t>
  </si>
  <si>
    <t>CHICKEN SOUP POWDER 2.25KG</t>
  </si>
  <si>
    <t>ATH-SUP003</t>
  </si>
  <si>
    <t>VEGETABLE SOUP POWDER 2.25KG</t>
  </si>
  <si>
    <t>ATH-SUP004</t>
  </si>
  <si>
    <t>MUSHROOM DRY SOUP 2.25KG</t>
  </si>
  <si>
    <t>ATH-SUP005</t>
  </si>
  <si>
    <t>ASPARAGUS SOUP POWDER 2KG</t>
  </si>
  <si>
    <t>ATH-SUP006</t>
  </si>
  <si>
    <t>CHICKEN NOODLE SOUP POWDER 2KG</t>
  </si>
  <si>
    <t>ATH-SUP007</t>
  </si>
  <si>
    <t>TOMATO SOUP POWDER 2.25KG</t>
  </si>
  <si>
    <t>PASTA</t>
  </si>
  <si>
    <t>ATH-PAS001</t>
  </si>
  <si>
    <t>SPAGHETTI 4X3KG</t>
  </si>
  <si>
    <t>ATH-PAS002</t>
  </si>
  <si>
    <t>MACARONI ELBOW 4X3KG</t>
  </si>
  <si>
    <t>ATH-PAS003</t>
  </si>
  <si>
    <t>PASTA PENNE 4X3KG</t>
  </si>
  <si>
    <t>ATH-PAS004</t>
  </si>
  <si>
    <t>TAGLIATELLE PASTA 500g</t>
  </si>
  <si>
    <t>ATH-PAS005</t>
  </si>
  <si>
    <t>PASTA TWISTS FUSILLI 4X3KG</t>
  </si>
  <si>
    <t>ATH-PAS006</t>
  </si>
  <si>
    <t>PASTA SHELLS 500G</t>
  </si>
  <si>
    <t>ATH-PAS007</t>
  </si>
  <si>
    <t>LASAGNE SHEETS 6KG</t>
  </si>
  <si>
    <t>ATH-PAS008</t>
  </si>
  <si>
    <t>EGG NOODLES 3KG</t>
  </si>
  <si>
    <t>ATH-PAS009</t>
  </si>
  <si>
    <t>INSTANT NOODLES PKT 40X70G</t>
  </si>
  <si>
    <t>ATH-PAS010</t>
  </si>
  <si>
    <t>ASST INSTANT NOODLES CUPS 12X90G</t>
  </si>
  <si>
    <t>ATH-PAS011</t>
  </si>
  <si>
    <t>VERMICELLI NOODLES 500G</t>
  </si>
  <si>
    <t>RICE</t>
  </si>
  <si>
    <t>ATH-RIC001</t>
  </si>
  <si>
    <t>LONG GRAIN RICE 20KG</t>
  </si>
  <si>
    <t>ATH-RIC002</t>
  </si>
  <si>
    <t>RICE BASMATI 20KG</t>
  </si>
  <si>
    <t>ATH-RIC003</t>
  </si>
  <si>
    <t>JASMINE RICE 10KG</t>
  </si>
  <si>
    <t>ATH-RIC004</t>
  </si>
  <si>
    <t>GLUTINOUS RICE 10KG</t>
  </si>
  <si>
    <t>ATH-RIC005</t>
  </si>
  <si>
    <t>SUSHI RICE 10KG</t>
  </si>
  <si>
    <t>ATH-RIC006</t>
  </si>
  <si>
    <t>RED LENTILS 2KG</t>
  </si>
  <si>
    <t>ATH-RIC007</t>
  </si>
  <si>
    <t>GREEN LENTIL 2KG</t>
  </si>
  <si>
    <t>ATH-RIC008</t>
  </si>
  <si>
    <t>GREEN SPLIT PEAS 2KG</t>
  </si>
  <si>
    <t>ATH-RIC009</t>
  </si>
  <si>
    <t>YELLOW SPLIT PEAS 2KG</t>
  </si>
  <si>
    <t>ATH-RIC010</t>
  </si>
  <si>
    <t>MARROWFAT PEAS 2KG</t>
  </si>
  <si>
    <t>ATH-RIC011</t>
  </si>
  <si>
    <t>CHICK PEAS 2KG</t>
  </si>
  <si>
    <t>ATH-RIC012</t>
  </si>
  <si>
    <t>KIDNEY BEANS 2KG</t>
  </si>
  <si>
    <t>ATH-RIC013</t>
  </si>
  <si>
    <t>RISOTTO RICE 5KG</t>
  </si>
  <si>
    <t>FLOUR</t>
  </si>
  <si>
    <t>ATH-FLR001</t>
  </si>
  <si>
    <t>PLAIN  FLOUR 5X1.5KG</t>
  </si>
  <si>
    <t>ATH-FLR002</t>
  </si>
  <si>
    <t>PLAIN FLOUR 16KG</t>
  </si>
  <si>
    <t>ATH-FLR003</t>
  </si>
  <si>
    <t>WHOLE MEAL FLOUR 16KG</t>
  </si>
  <si>
    <t>ATH-FLR004</t>
  </si>
  <si>
    <t>SELF RAISING FLOUR 5X1.5KG</t>
  </si>
  <si>
    <t>ATH-FLR005</t>
  </si>
  <si>
    <t>SELF RAISING FLOUR 25KG</t>
  </si>
  <si>
    <t>ATH-FLR006</t>
  </si>
  <si>
    <t>BREADCRUMBS WHITE 2.75KG</t>
  </si>
  <si>
    <t>ATH-FLR007</t>
  </si>
  <si>
    <t>BREADCRUMBS GOLDEN 2.75KG</t>
  </si>
  <si>
    <t>ATH-FLR008</t>
  </si>
  <si>
    <t>STUFFING MIX 2KG</t>
  </si>
  <si>
    <t>ATH-FLR009</t>
  </si>
  <si>
    <t>SPONGE MIX 3.5KG</t>
  </si>
  <si>
    <t>ATH-FLR010</t>
  </si>
  <si>
    <t>CORN  FLOUR 3KG</t>
  </si>
  <si>
    <t>JAMS</t>
  </si>
  <si>
    <t>ATH-JAM001</t>
  </si>
  <si>
    <t>CHOCOLATE SPREAD 6X400G</t>
  </si>
  <si>
    <t>ATH-JAM002</t>
  </si>
  <si>
    <t>PEANUT BUTTER SMOOTH/CRUNCHY 6X340G</t>
  </si>
  <si>
    <t>ATH-JAM003</t>
  </si>
  <si>
    <t>HONEY 6X340G</t>
  </si>
  <si>
    <t>ATH-JAM004</t>
  </si>
  <si>
    <t>BLACKCURRANT PRESERVE/JAM 72X28G</t>
  </si>
  <si>
    <t>ATH-JAM005</t>
  </si>
  <si>
    <t>LEMON CURD 312G</t>
  </si>
  <si>
    <t>ATH-JAM006</t>
  </si>
  <si>
    <t>ORANGE MARMELADE FINE CUT PEEL 72X28G</t>
  </si>
  <si>
    <t>ATH-JAM007</t>
  </si>
  <si>
    <t>STRAWBERRY PRESERVE / JAM 72X28G</t>
  </si>
  <si>
    <t>ATH-JAM008</t>
  </si>
  <si>
    <t>APRICOTPRESERVE/ JAM 72X28G</t>
  </si>
  <si>
    <t>ATH-JAM009</t>
  </si>
  <si>
    <t>RASPBERRY PRESERVE/JAM 72X28G</t>
  </si>
  <si>
    <t>ATH-JAM010</t>
  </si>
  <si>
    <t>MIXED FRUIT JAM 2.72KG</t>
  </si>
  <si>
    <t>CEREALS</t>
  </si>
  <si>
    <t>ATH-CER001</t>
  </si>
  <si>
    <t>CORN FLAKES 4X500G</t>
  </si>
  <si>
    <t>ATH-CER002</t>
  </si>
  <si>
    <t>RICE CRISPIES 7X430G</t>
  </si>
  <si>
    <t>ATH-CER003</t>
  </si>
  <si>
    <t>BRAN FLAKES 6X500G</t>
  </si>
  <si>
    <t>ATH-CER004</t>
  </si>
  <si>
    <t>ALPEN ORIGINAL 6X550G</t>
  </si>
  <si>
    <t>ATH-CER005</t>
  </si>
  <si>
    <t>FROSTIES 8X470G</t>
  </si>
  <si>
    <t>ATH-CER006</t>
  </si>
  <si>
    <t>BRANFLAKES FIBER 4X500G</t>
  </si>
  <si>
    <t>ATH-CER007</t>
  </si>
  <si>
    <t>SPECIAL K 6X440G</t>
  </si>
  <si>
    <t>ATH-CER008</t>
  </si>
  <si>
    <t>CRUNCHNUT CORNFLAKES 6X380G</t>
  </si>
  <si>
    <t>ATH-CER009</t>
  </si>
  <si>
    <t>WEETABIX 10X24NO</t>
  </si>
  <si>
    <t>ATH-CER010</t>
  </si>
  <si>
    <t>OATS 2KG</t>
  </si>
  <si>
    <t>SUGAR</t>
  </si>
  <si>
    <t>ATH-SUG001</t>
  </si>
  <si>
    <t>BROWN SUGAR DEMERERA 4X3KG</t>
  </si>
  <si>
    <t>ATH-SUG002</t>
  </si>
  <si>
    <t>SOFT LIGHT SUGAR 4X3KG</t>
  </si>
  <si>
    <t>ATH-SUG003</t>
  </si>
  <si>
    <t>CASTER SUGAR FINE 6X2KG</t>
  </si>
  <si>
    <t>ATH-SUG004</t>
  </si>
  <si>
    <t>ICING SUGAR 4X3KG</t>
  </si>
  <si>
    <t>ATH-SUG005</t>
  </si>
  <si>
    <t>SUGAR CUBES 1KG</t>
  </si>
  <si>
    <t>ATH-SUG006</t>
  </si>
  <si>
    <t>SUGAR WHITE GRANULATED 15X1KG</t>
  </si>
  <si>
    <t>ATH-SUG007</t>
  </si>
  <si>
    <t>SUGAR WHITE GRANULATED 25KG</t>
  </si>
  <si>
    <t>ATH-SUG008</t>
  </si>
  <si>
    <t>SUGAR PORTIONS 2KG</t>
  </si>
  <si>
    <t>ATH-SUG009</t>
  </si>
  <si>
    <t>SWEETENER 12X1200</t>
  </si>
  <si>
    <t>OILS</t>
  </si>
  <si>
    <t>ATH-OIL001</t>
  </si>
  <si>
    <t>COOKING OIL 20LTR</t>
  </si>
  <si>
    <t>ATH-OIL002</t>
  </si>
  <si>
    <t>COOKING OIL 8X1LTR</t>
  </si>
  <si>
    <t>ATH-OIL003</t>
  </si>
  <si>
    <t>SUNFLOWER COOKING OIL 8X1LTR</t>
  </si>
  <si>
    <t>ATH-OIL004</t>
  </si>
  <si>
    <t>SUNFLOWER OIL 10LTR</t>
  </si>
  <si>
    <t>ATH-OIL005</t>
  </si>
  <si>
    <t>OLIVE OIL EXTRA VIRGIN 5LTR</t>
  </si>
  <si>
    <t>ATH-OIL006</t>
  </si>
  <si>
    <t>SESAME  OIL 500ML</t>
  </si>
  <si>
    <t>HERBS &amp; SPICES</t>
  </si>
  <si>
    <t>ATH-HRB001</t>
  </si>
  <si>
    <t>ATH-HRB002</t>
  </si>
  <si>
    <t>ATH-HRB003</t>
  </si>
  <si>
    <t>ATH-HRB004</t>
  </si>
  <si>
    <t>ATH-HRB005</t>
  </si>
  <si>
    <t>ATH-HRB006</t>
  </si>
  <si>
    <t>ATH-HRB007</t>
  </si>
  <si>
    <t>ATH-HRB008</t>
  </si>
  <si>
    <t>ATH-HRB009</t>
  </si>
  <si>
    <t>ATH-HRB010</t>
  </si>
  <si>
    <t>ATH-HRB011</t>
  </si>
  <si>
    <t>ATH-HRB012</t>
  </si>
  <si>
    <t>ATH-HRB013</t>
  </si>
  <si>
    <t>ATH-HRB014</t>
  </si>
  <si>
    <t>ATH-HRB015</t>
  </si>
  <si>
    <t>ATH-HRB016</t>
  </si>
  <si>
    <t>ATH-HRB017</t>
  </si>
  <si>
    <t>ATH-HRB018</t>
  </si>
  <si>
    <t>ATH-HRB019</t>
  </si>
  <si>
    <t>ATH-HRB020</t>
  </si>
  <si>
    <t>ATH-HRB021</t>
  </si>
  <si>
    <t>ATH-HRB022</t>
  </si>
  <si>
    <t>ATH-HRB023</t>
  </si>
  <si>
    <t>ATH-HRB024</t>
  </si>
  <si>
    <t>ATH-HRB025</t>
  </si>
  <si>
    <t>ATH-HRB026</t>
  </si>
  <si>
    <t>ATH-HRB027</t>
  </si>
  <si>
    <t>ATH-HRB028</t>
  </si>
  <si>
    <t>ATH-CRP001</t>
  </si>
  <si>
    <t>CHIPS SALT &amp; VINEGAR PRINGLES 12X40G</t>
  </si>
  <si>
    <t>ATH-CRP002</t>
  </si>
  <si>
    <t>CHIPS PRIINGLES 12X40G</t>
  </si>
  <si>
    <t>ATH-CRP003</t>
  </si>
  <si>
    <t>WALKERS CRISPS 32NO</t>
  </si>
  <si>
    <t>ATH-CRP004</t>
  </si>
  <si>
    <t>TORTILLA CHIPS 6X454G</t>
  </si>
  <si>
    <t>ATH-CRP005</t>
  </si>
  <si>
    <t>CASHEW NUTS 400G</t>
  </si>
  <si>
    <t>ATH-CRP006</t>
  </si>
  <si>
    <t>PEANUTS SALTED 21X50G</t>
  </si>
  <si>
    <t>ATH-CRP007</t>
  </si>
  <si>
    <t>MIXED NUTS AND FRUIT 400G</t>
  </si>
  <si>
    <t>BISCUITS</t>
  </si>
  <si>
    <t>ATH-BIS001</t>
  </si>
  <si>
    <t>BOUNTY 24NO</t>
  </si>
  <si>
    <t>ATH-BIS002</t>
  </si>
  <si>
    <t>MARS 24NO</t>
  </si>
  <si>
    <t>ATH-BIS003</t>
  </si>
  <si>
    <t>SNICKERS 48NO</t>
  </si>
  <si>
    <t>ATH-BIS004</t>
  </si>
  <si>
    <t>TWIX 24NO</t>
  </si>
  <si>
    <t>ATH-BIS005</t>
  </si>
  <si>
    <t>KITKAT CHOCOLATE 4 FINGER 24NO</t>
  </si>
  <si>
    <t>ATH-BIS006</t>
  </si>
  <si>
    <t>PICNIC CHOCOLATE BAR 36NO</t>
  </si>
  <si>
    <t>ATH-BIS007</t>
  </si>
  <si>
    <t>CADBURY'S DAIRY MILK 48NO</t>
  </si>
  <si>
    <t>ATH-BIS008</t>
  </si>
  <si>
    <t>ASSORTED BISCUITS 2KG</t>
  </si>
  <si>
    <t>ATH-BIS009</t>
  </si>
  <si>
    <t>CHOCOLATE BISCUITS 12X200G</t>
  </si>
  <si>
    <t>ATH-BIS010</t>
  </si>
  <si>
    <t>TEA BISCUITS PLAIN 18X300G</t>
  </si>
  <si>
    <t>ATH-BIS011</t>
  </si>
  <si>
    <t>DIGESTIVE BISCUITS 17X400G</t>
  </si>
  <si>
    <t>ATH-BIS012</t>
  </si>
  <si>
    <t>JAFFA CAKES 20X300G</t>
  </si>
  <si>
    <t>ATH-BIS013</t>
  </si>
  <si>
    <t>CUSTARD CREAMS 12X150G</t>
  </si>
  <si>
    <t>ATH-BIS014</t>
  </si>
  <si>
    <t>CREAM CRACKERS 12X300G</t>
  </si>
  <si>
    <t>ATH-BIS015</t>
  </si>
  <si>
    <t>BISCUITS FOR CHEESE 0.9KG</t>
  </si>
  <si>
    <t>ATH-BIS016</t>
  </si>
  <si>
    <t>TUC BISCUITS 12X150G</t>
  </si>
  <si>
    <t>ATH-BIS017</t>
  </si>
  <si>
    <t>RITZ BISCUITS 8X150G</t>
  </si>
  <si>
    <t>ATH-BAK007</t>
  </si>
  <si>
    <t>PASSIOFRUIT SYRUP 1LTR</t>
  </si>
  <si>
    <t>ATH-BAK008</t>
  </si>
  <si>
    <t>STRAWBERRY SYRUP 1LTR</t>
  </si>
  <si>
    <t>ATH-BAK009</t>
  </si>
  <si>
    <t>CARAMEL SYRUP 1LTR</t>
  </si>
  <si>
    <t>ATH-BAK010</t>
  </si>
  <si>
    <t>BAKING POWDER 900G</t>
  </si>
  <si>
    <t>ATH-BAK011</t>
  </si>
  <si>
    <t>GROUND ALMOND 1KG</t>
  </si>
  <si>
    <t>ATH-BAK012</t>
  </si>
  <si>
    <t>ALMOND FLAKES 1KG</t>
  </si>
  <si>
    <t>ATH-BAK013</t>
  </si>
  <si>
    <t>WHOLE ALMONDS 0.9KG</t>
  </si>
  <si>
    <t>ATH-BAK014</t>
  </si>
  <si>
    <t>DRY RAISIN BLACK 2KG</t>
  </si>
  <si>
    <t>ATH-BAK015</t>
  </si>
  <si>
    <t>SULTANAS 2KG</t>
  </si>
  <si>
    <t>ATH-BAK016</t>
  </si>
  <si>
    <t>CURRANTS 2KG</t>
  </si>
  <si>
    <t>ATH-BAK017</t>
  </si>
  <si>
    <t>FERMIPAN INSTANT YEAST 500G</t>
  </si>
  <si>
    <t>ATH-BAK018</t>
  </si>
  <si>
    <t>CUSTARD POWDER VANILLA 3.5KG</t>
  </si>
  <si>
    <t>ATH-BAK019</t>
  </si>
  <si>
    <t>COOKING CHOCOLATE 2.5KG</t>
  </si>
  <si>
    <t>ATH-BAK020</t>
  </si>
  <si>
    <t>DRIED MIXED FRUITS 2KG</t>
  </si>
  <si>
    <t>ATH-BAK021</t>
  </si>
  <si>
    <t>ASSORTED JELLY CRYSTALS 3.5KG</t>
  </si>
  <si>
    <t>ATH-BAK022</t>
  </si>
  <si>
    <t>VANILLA ESSENCE 6X35ML</t>
  </si>
  <si>
    <t>ATH-BAK023</t>
  </si>
  <si>
    <t>ALMOND ESSENCE 1LTR</t>
  </si>
  <si>
    <t>FROZEN VEGETABLES</t>
  </si>
  <si>
    <t>SPINACH 1KG</t>
  </si>
  <si>
    <t>FROZEN POTATO</t>
  </si>
  <si>
    <t>ATH-FPO001</t>
  </si>
  <si>
    <t>POTATO FRENCH FRIES 4X2.5KG</t>
  </si>
  <si>
    <t>ATH-FPO002</t>
  </si>
  <si>
    <t>POTATO HASH BROWN 1.36KG</t>
  </si>
  <si>
    <t>ATH-FPO003</t>
  </si>
  <si>
    <t>POTATO WEDGES 2KG</t>
  </si>
  <si>
    <t>FROZEN FISH</t>
  </si>
  <si>
    <t>ATH-FFI001</t>
  </si>
  <si>
    <t>ATH-FFI002</t>
  </si>
  <si>
    <t>ATH-FFI003</t>
  </si>
  <si>
    <t>ATH-FFI004</t>
  </si>
  <si>
    <t>ATH-FFI005</t>
  </si>
  <si>
    <t>SALMON SMOKED (CHILLED) 500G</t>
  </si>
  <si>
    <t>ATH-FFI006</t>
  </si>
  <si>
    <t>MACKEREL WHOLE 1KG</t>
  </si>
  <si>
    <t>ATH-FFI007</t>
  </si>
  <si>
    <t>SMOKED MACKEREL FILLET 1KG</t>
  </si>
  <si>
    <t>ATH-FFI008</t>
  </si>
  <si>
    <t>SMOKED MACKEREL FILLET PEPPERED 1KG</t>
  </si>
  <si>
    <t>ATH-FFI009</t>
  </si>
  <si>
    <t>SEABASS WHOLE 1KG</t>
  </si>
  <si>
    <t>ATH-FFI010</t>
  </si>
  <si>
    <t>SEABASS FILLET 1KG</t>
  </si>
  <si>
    <t>ATH-FFI011</t>
  </si>
  <si>
    <t>ATH-FFI012</t>
  </si>
  <si>
    <t>ATH-FFI013</t>
  </si>
  <si>
    <t>ATH-FFI014</t>
  </si>
  <si>
    <t>PLAICE FILLET 4.54KG</t>
  </si>
  <si>
    <t>ATH-FFI015</t>
  </si>
  <si>
    <t>POLLOCK FILLET 4.54KG</t>
  </si>
  <si>
    <t>ATH-FFI016</t>
  </si>
  <si>
    <t>SARDINES WHOLE 1KG</t>
  </si>
  <si>
    <t>ATH-FFI017</t>
  </si>
  <si>
    <t>ATH-FFI018</t>
  </si>
  <si>
    <t>ATH-FFI019</t>
  </si>
  <si>
    <t>ATH-FFI020</t>
  </si>
  <si>
    <t>ATH-FFI021</t>
  </si>
  <si>
    <t>ATH-FFI022</t>
  </si>
  <si>
    <t>ATH-FFI023</t>
  </si>
  <si>
    <t>ATH-FFI024</t>
  </si>
  <si>
    <t>ATH-FFI025</t>
  </si>
  <si>
    <t>ATH-FFI026</t>
  </si>
  <si>
    <t>ATH-FFI027</t>
  </si>
  <si>
    <t>PRAWNS NORTH ATLANTIC 2KG</t>
  </si>
  <si>
    <t>ATH-FFI028</t>
  </si>
  <si>
    <t>ATH-FFI029</t>
  </si>
  <si>
    <t>ATH-FFI030</t>
  </si>
  <si>
    <t>OCTOPUS 1KG</t>
  </si>
  <si>
    <t>ATH-FFI031</t>
  </si>
  <si>
    <t>ATH-FFI032</t>
  </si>
  <si>
    <t>SQUID TUBES 1KG</t>
  </si>
  <si>
    <t>ATH-FFI033</t>
  </si>
  <si>
    <t>ATH-FFI034</t>
  </si>
  <si>
    <t>FROZEN POULTRY</t>
  </si>
  <si>
    <t>ATH-FPL001</t>
  </si>
  <si>
    <t>ATH-FPL002</t>
  </si>
  <si>
    <t>ATH-FPL003</t>
  </si>
  <si>
    <t>ATH-FPL004</t>
  </si>
  <si>
    <t>ATH-FPL005</t>
  </si>
  <si>
    <t>ATH-FPL006</t>
  </si>
  <si>
    <t>ATH-FPL007</t>
  </si>
  <si>
    <t>ATH-FPL008</t>
  </si>
  <si>
    <t>ATH-FPL009</t>
  </si>
  <si>
    <t>ATH-FPL010</t>
  </si>
  <si>
    <t>TURKEY BREAST B/LESS 5KG</t>
  </si>
  <si>
    <t>ATH-FPL011</t>
  </si>
  <si>
    <t>DUCK BREAST 400G</t>
  </si>
  <si>
    <t>ATH-FPL012</t>
  </si>
  <si>
    <t>ATH-BFF001</t>
  </si>
  <si>
    <t>ATH-BFF002</t>
  </si>
  <si>
    <t>ATH-BFF003</t>
  </si>
  <si>
    <t>ATH-BFF004</t>
  </si>
  <si>
    <t>ATH-BFF005</t>
  </si>
  <si>
    <t>ATH-BFF006</t>
  </si>
  <si>
    <t>ATH-BFF008</t>
  </si>
  <si>
    <t>BEEF TONGUE 1KG</t>
  </si>
  <si>
    <t>ATH-BFF009</t>
  </si>
  <si>
    <t>BEEF TOPSIDE 1KG</t>
  </si>
  <si>
    <t>ATH-BFF010</t>
  </si>
  <si>
    <t>BEEF OXTAIL 1KG</t>
  </si>
  <si>
    <t>ATH-BFF011</t>
  </si>
  <si>
    <t>ATH-BFF012</t>
  </si>
  <si>
    <t>BEEF TRIPE 1KG</t>
  </si>
  <si>
    <t>ATH-PRK001</t>
  </si>
  <si>
    <t>ATH-PRK002</t>
  </si>
  <si>
    <t>ATH-PRK003</t>
  </si>
  <si>
    <t>ATH-PRK006</t>
  </si>
  <si>
    <t>ATH-LMB001</t>
  </si>
  <si>
    <t>LAMB  CHOPS 1.5KG</t>
  </si>
  <si>
    <t>ATH-LMB002</t>
  </si>
  <si>
    <t>LAMB LOIN CHOPS 6KG</t>
  </si>
  <si>
    <t>ATH-LMB003</t>
  </si>
  <si>
    <t>LAMB LEG BONE IN AV 3KG 1KG</t>
  </si>
  <si>
    <t>ATH-LMB004</t>
  </si>
  <si>
    <t>LAMB LEG BONELESS AV 5KG 1KG</t>
  </si>
  <si>
    <t>ATH-LMB005</t>
  </si>
  <si>
    <t>LAMB MINCE 2.5KG</t>
  </si>
  <si>
    <t>ATH-LMB006</t>
  </si>
  <si>
    <t>LAMB RACK AV 3KG 1KG</t>
  </si>
  <si>
    <t>ICE CREAM</t>
  </si>
  <si>
    <t>ATH-ICE001</t>
  </si>
  <si>
    <t>ICE CREAM VANILLA 4LTR</t>
  </si>
  <si>
    <t>ATH-ICE002</t>
  </si>
  <si>
    <t>ICE CREAM CHOCOLATE 4LTR</t>
  </si>
  <si>
    <t>ATH-ICE003</t>
  </si>
  <si>
    <t>ICE CREAM STRAWBERRY 4LTR</t>
  </si>
  <si>
    <t>FROZEN BREAD</t>
  </si>
  <si>
    <t>ATH-BRD001</t>
  </si>
  <si>
    <t>ATH-BRD002</t>
  </si>
  <si>
    <t>PIZZA BASE 9" 48NO</t>
  </si>
  <si>
    <t>ATH-BRD003</t>
  </si>
  <si>
    <t>SPRING ROLL SHEET 30X10" 30PACK</t>
  </si>
  <si>
    <t>ATH-BRD004</t>
  </si>
  <si>
    <t>HOT DOG BUNS 48NO</t>
  </si>
  <si>
    <t>ATH-BRD005</t>
  </si>
  <si>
    <t>BURGER BUNS 48NO</t>
  </si>
  <si>
    <t>ATH-BRD006</t>
  </si>
  <si>
    <t>ATH-BRD007</t>
  </si>
  <si>
    <t>ATH-BRD008</t>
  </si>
  <si>
    <t>ATH-BRD009</t>
  </si>
  <si>
    <t>PETIT PANS 100NO</t>
  </si>
  <si>
    <t>ATH-BRD010</t>
  </si>
  <si>
    <t>PUFF PASTRY 4X1.5KG</t>
  </si>
  <si>
    <t>ATH-BRD011</t>
  </si>
  <si>
    <t>SHORTCRUST PASTRY 4X1.5KG</t>
  </si>
  <si>
    <t>ATH-BRD012</t>
  </si>
  <si>
    <t>VEGETABLE SPRING ROLLS 100NO</t>
  </si>
  <si>
    <t>ATH-BRD013</t>
  </si>
  <si>
    <t>FLOUR TORTILLAS 10S 10PACK</t>
  </si>
  <si>
    <t>FRESH MILK</t>
  </si>
  <si>
    <t>ATH-FMK001</t>
  </si>
  <si>
    <t>FRESH CREAM WHIPPING 1LTR</t>
  </si>
  <si>
    <t>ATH-FMK002</t>
  </si>
  <si>
    <t>WHIPPING CREAM LONG LIFE 1LTR</t>
  </si>
  <si>
    <t>ATH-FMK003</t>
  </si>
  <si>
    <t>FRESH MILK WHOLE 2LTR</t>
  </si>
  <si>
    <t>ATH-FMK004</t>
  </si>
  <si>
    <t>FRESH MILK SEMI SKIMMED 2LTR</t>
  </si>
  <si>
    <t>ATH-FMK005</t>
  </si>
  <si>
    <t>FRESH MILK SKIMMED 2LTR</t>
  </si>
  <si>
    <t>ATH-FMK006</t>
  </si>
  <si>
    <t>FRESH YOGHURT</t>
  </si>
  <si>
    <t>ATH-FYG001</t>
  </si>
  <si>
    <t>ATH-FYG002</t>
  </si>
  <si>
    <t>YOGHURT PLAIN 1KG</t>
  </si>
  <si>
    <t>ATH-FYG003</t>
  </si>
  <si>
    <t>ASSORTED FRUIT YOGHURT 20X150ML</t>
  </si>
  <si>
    <t>FRESH BUTTER</t>
  </si>
  <si>
    <t>ATH-FBT001</t>
  </si>
  <si>
    <t>ATH-FBT002</t>
  </si>
  <si>
    <t>BUTTER PORTIONS 100NO</t>
  </si>
  <si>
    <t>ATH-FBT003</t>
  </si>
  <si>
    <t>MARGARINE FOR COOKING 40X250G</t>
  </si>
  <si>
    <t>ATH-FBT004</t>
  </si>
  <si>
    <t>MARGARINE BREAD SPREAD 2KG</t>
  </si>
  <si>
    <t>FRESH CHEESE</t>
  </si>
  <si>
    <t>ATH-FCH001</t>
  </si>
  <si>
    <t>CHEESE SLICED 1.4KG</t>
  </si>
  <si>
    <t>ATH-FCH002</t>
  </si>
  <si>
    <t>EDAM CHEESE SLICES 800G</t>
  </si>
  <si>
    <t>ATH-FCH003</t>
  </si>
  <si>
    <t>CHEDDAR CHEESE SLICES 1KG</t>
  </si>
  <si>
    <t>ATH-FCH004</t>
  </si>
  <si>
    <t>CREAM CHEESE 1.65KG</t>
  </si>
  <si>
    <t>ATH-FCH005</t>
  </si>
  <si>
    <t>PARMESAN CHEESE GRATED 500G</t>
  </si>
  <si>
    <t>ATH-FCH006</t>
  </si>
  <si>
    <t>FRENCH BRIE TRIANGLE 185G</t>
  </si>
  <si>
    <t>ATH-FCH007</t>
  </si>
  <si>
    <t>FETA CHEESE (GREEK) 900G</t>
  </si>
  <si>
    <t>ATH-FCH008</t>
  </si>
  <si>
    <t>FETA CHEESE (TURKISH) 800G</t>
  </si>
  <si>
    <t>ATH-FCH009</t>
  </si>
  <si>
    <t>MOZZARELLA CHEESE SHREDDED 2KG</t>
  </si>
  <si>
    <t>ATH-FCH010</t>
  </si>
  <si>
    <t>MOZZARELLA IN WATER 4X125G</t>
  </si>
  <si>
    <t>ATH-FCH011</t>
  </si>
  <si>
    <t>PHILADELPHIA CHEESE 165G</t>
  </si>
  <si>
    <t>ATH-FCH012</t>
  </si>
  <si>
    <t>COTTAGE CHEESE 250G</t>
  </si>
  <si>
    <t>ATH-FCH013</t>
  </si>
  <si>
    <t>KASHKAVAL CHEESE 400G</t>
  </si>
  <si>
    <t>ATH-FCH014</t>
  </si>
  <si>
    <t>MASCARPONE CHEESE 500G</t>
  </si>
  <si>
    <t>FRESH EGGS</t>
  </si>
  <si>
    <t>ATH-FEG001</t>
  </si>
  <si>
    <t>ATH-FEG002</t>
  </si>
  <si>
    <t>FRESH COLD CUTS</t>
  </si>
  <si>
    <t>ATH-FCC001</t>
  </si>
  <si>
    <t>PORK SALAMI 1KG</t>
  </si>
  <si>
    <t>ATH-FCC002</t>
  </si>
  <si>
    <t>SANDWICH HAM SLICED 500G</t>
  </si>
  <si>
    <t>ATH-FCC003</t>
  </si>
  <si>
    <t>TURKEY SLICED 130G</t>
  </si>
  <si>
    <t>ATH-FCC004</t>
  </si>
  <si>
    <t>PORK SLICED 500G</t>
  </si>
  <si>
    <t>ATH-FCC005</t>
  </si>
  <si>
    <t>BEEF SLICED 200G</t>
  </si>
  <si>
    <t>ATH-FCC007</t>
  </si>
  <si>
    <t>BLACK PUDDING 1.3KG</t>
  </si>
  <si>
    <t>ATH-FCC008</t>
  </si>
  <si>
    <t>PARMA HAM SLICED 500G</t>
  </si>
  <si>
    <t>ATH-FCC009</t>
  </si>
  <si>
    <t>PARMAK SUCUK 1KG</t>
  </si>
  <si>
    <t>FRESH VEGETABLES</t>
  </si>
  <si>
    <t>ATH-FVG001</t>
  </si>
  <si>
    <t>ARTICHOKE 1KG</t>
  </si>
  <si>
    <t>ATH-FVG002</t>
  </si>
  <si>
    <t>ASPARAGUS 1XBOX</t>
  </si>
  <si>
    <t>ATH-FVG003</t>
  </si>
  <si>
    <t>BABY CORN 100G 12XBOX</t>
  </si>
  <si>
    <t>ATH-FVG004</t>
  </si>
  <si>
    <t>BASIL LEAVES 50G</t>
  </si>
  <si>
    <t>ATH-FVG005</t>
  </si>
  <si>
    <t>BEANSPROUT 12X250G</t>
  </si>
  <si>
    <t>ATH-FVG006</t>
  </si>
  <si>
    <t>BEETROOT 1KG</t>
  </si>
  <si>
    <t>ATH-FVG007</t>
  </si>
  <si>
    <t>ATH-FVG008</t>
  </si>
  <si>
    <t>BRUSSEL SPROUTS 1KG</t>
  </si>
  <si>
    <t>ATH-FVG009</t>
  </si>
  <si>
    <t>CABBAGE CHINESE 9XBOX</t>
  </si>
  <si>
    <t>ATH-FVG010</t>
  </si>
  <si>
    <t>CABBAGE GREEN 12XBOX</t>
  </si>
  <si>
    <t>ATH-FVG011</t>
  </si>
  <si>
    <t>ATH-FVG012</t>
  </si>
  <si>
    <t>ATH-FVG013</t>
  </si>
  <si>
    <t>ATH-FVG014</t>
  </si>
  <si>
    <t>ATH-FVG015</t>
  </si>
  <si>
    <t>ATH-FVG016</t>
  </si>
  <si>
    <t>ATH-FVG017</t>
  </si>
  <si>
    <t>CAULIFLOWER 8XBOX</t>
  </si>
  <si>
    <t>ATH-FVG018</t>
  </si>
  <si>
    <t>ATH-FVG020</t>
  </si>
  <si>
    <t>CHIVES 50G</t>
  </si>
  <si>
    <t>ATH-FVG021</t>
  </si>
  <si>
    <t>CORN COB 30XBOX</t>
  </si>
  <si>
    <t>ATH-FVG022</t>
  </si>
  <si>
    <t>CORIANDER LEAVES 50G</t>
  </si>
  <si>
    <t>ATH-FVG023</t>
  </si>
  <si>
    <t>CUCUMBERS 12XBOX</t>
  </si>
  <si>
    <t>ATH-FVG024</t>
  </si>
  <si>
    <t>CURRY LEAVES 1KG</t>
  </si>
  <si>
    <t>ATH-FVG025</t>
  </si>
  <si>
    <t>CURLY ENDIVES 1KG</t>
  </si>
  <si>
    <t>ATH-FVG026</t>
  </si>
  <si>
    <t>ATH-FVG027</t>
  </si>
  <si>
    <t>ATH-FVG028</t>
  </si>
  <si>
    <t>ENDIVES 10XBOX</t>
  </si>
  <si>
    <t>ATH-FVG029</t>
  </si>
  <si>
    <t>FENNEL 1 X HEAD</t>
  </si>
  <si>
    <t>ATH-FVG030</t>
  </si>
  <si>
    <t>GARLIC 50XBULB</t>
  </si>
  <si>
    <t>ATH-FVG031</t>
  </si>
  <si>
    <t>GINGER 1KG</t>
  </si>
  <si>
    <t>ATH-FVG032</t>
  </si>
  <si>
    <t>GREEN CHILLI 1KG</t>
  </si>
  <si>
    <t>ATH-FVG033</t>
  </si>
  <si>
    <t>GREEN BEANS 1KG</t>
  </si>
  <si>
    <t>ATH-FVG034</t>
  </si>
  <si>
    <t>LEEKS 2KG</t>
  </si>
  <si>
    <t>ATH-FVG035</t>
  </si>
  <si>
    <t>LEMON 2KG</t>
  </si>
  <si>
    <t>ATH-FVG036</t>
  </si>
  <si>
    <t>LETTUCE ICEBERG 12XBOX</t>
  </si>
  <si>
    <t>ATH-FVG037</t>
  </si>
  <si>
    <t>LETTUCE RED RADDICHIO 9XBOX</t>
  </si>
  <si>
    <t>ATH-FVG038</t>
  </si>
  <si>
    <t>LETTUCE RED FRISSE 12XBOX</t>
  </si>
  <si>
    <t>ATH-FVG039</t>
  </si>
  <si>
    <t>LIME 2KG</t>
  </si>
  <si>
    <t>ATH-FVG040</t>
  </si>
  <si>
    <t>LOLLO ROSSO 12XBOX</t>
  </si>
  <si>
    <t>ATH-FVG041</t>
  </si>
  <si>
    <t>ATH-FVG042</t>
  </si>
  <si>
    <t>MUSHROOM BUTTON 2.27KG</t>
  </si>
  <si>
    <t>ATH-FVG043</t>
  </si>
  <si>
    <t>OKRA 2XBOX</t>
  </si>
  <si>
    <t>ATH-FVG044</t>
  </si>
  <si>
    <t>WHITE ONIONS 10KG</t>
  </si>
  <si>
    <t>ATH-FVG045</t>
  </si>
  <si>
    <t>RED ONIONS 5KG</t>
  </si>
  <si>
    <t>ATH-FVG046</t>
  </si>
  <si>
    <t>ATH-FVG047</t>
  </si>
  <si>
    <t>ATH-FVG048</t>
  </si>
  <si>
    <t>ATH-FVG049</t>
  </si>
  <si>
    <t>ATH-FVG050</t>
  </si>
  <si>
    <t>RADISH RED 20XBOX</t>
  </si>
  <si>
    <t>ATH-FVG051</t>
  </si>
  <si>
    <t>RADISH WHITE 1XBOX</t>
  </si>
  <si>
    <t>ATH-FVG052</t>
  </si>
  <si>
    <t>RED CHILLI 1KG</t>
  </si>
  <si>
    <t>ATH-FVG053</t>
  </si>
  <si>
    <t>ROSEMARY 50G</t>
  </si>
  <si>
    <t>ATH-FVG054</t>
  </si>
  <si>
    <t>SAGE 50G</t>
  </si>
  <si>
    <t>ATH-FVG055</t>
  </si>
  <si>
    <t>SHALLOTS 1KG</t>
  </si>
  <si>
    <t>ATH-FVG056</t>
  </si>
  <si>
    <t>SNOW PEAS 10XBOX</t>
  </si>
  <si>
    <t>ATH-FVG057</t>
  </si>
  <si>
    <t>ATH-FVG058</t>
  </si>
  <si>
    <t>ATH-FVG059</t>
  </si>
  <si>
    <t>SQUASH YELLOW 1XPCS</t>
  </si>
  <si>
    <t>ATH-FVG060</t>
  </si>
  <si>
    <t>THYME 50G</t>
  </si>
  <si>
    <t>ATH-FVG061</t>
  </si>
  <si>
    <t>ATH-FVG062</t>
  </si>
  <si>
    <t>ATH-FVG063</t>
  </si>
  <si>
    <t>ATH-FVG064</t>
  </si>
  <si>
    <t>TURNIPS 5XBAG</t>
  </si>
  <si>
    <t>ATH-FVG065</t>
  </si>
  <si>
    <t>ZUCHINI GREEN 1KG</t>
  </si>
  <si>
    <t>ATH-FVG066</t>
  </si>
  <si>
    <t>ZUCHINI YELLOW 1KG</t>
  </si>
  <si>
    <t>ATH-FVG067</t>
  </si>
  <si>
    <t>ATH-FVG068</t>
  </si>
  <si>
    <t>LEMON GRASS 60G</t>
  </si>
  <si>
    <t>ATH-FVG069</t>
  </si>
  <si>
    <t>OREGANO 100G</t>
  </si>
  <si>
    <t>ATH-FVG070</t>
  </si>
  <si>
    <t>TARAGON 50G</t>
  </si>
  <si>
    <t>FRESH FRUIT</t>
  </si>
  <si>
    <t>ATH-FFR001</t>
  </si>
  <si>
    <t>ATH-FFR002</t>
  </si>
  <si>
    <t>ATH-FFR003</t>
  </si>
  <si>
    <t>APPLES GOLDEN DELICIOUS 135XBOX</t>
  </si>
  <si>
    <t>ATH-FFR004</t>
  </si>
  <si>
    <t>AVOCADO 14XBOX</t>
  </si>
  <si>
    <t>ATH-FFR005</t>
  </si>
  <si>
    <t>ATH-FFR006</t>
  </si>
  <si>
    <t>CANTALOUPE MELONS 5XBOX</t>
  </si>
  <si>
    <t>ATH-FFR007</t>
  </si>
  <si>
    <t>COCONUT 1XPCS</t>
  </si>
  <si>
    <t>ATH-FFR008</t>
  </si>
  <si>
    <t>GRAPEFRUIT 40XBOX</t>
  </si>
  <si>
    <t>ATH-FFR009</t>
  </si>
  <si>
    <t>ATH-FFR010</t>
  </si>
  <si>
    <t>ATH-FFR011</t>
  </si>
  <si>
    <t>ATH-FFR012</t>
  </si>
  <si>
    <t>KIWI FRUIT 28XBOX</t>
  </si>
  <si>
    <t>ATH-FFR013</t>
  </si>
  <si>
    <t>MANDARIN 90XBOX</t>
  </si>
  <si>
    <t>ATH-FFR014</t>
  </si>
  <si>
    <t>MANGO 10XBOX</t>
  </si>
  <si>
    <t>ATH-FFR015</t>
  </si>
  <si>
    <t>ORANGE 48XBOX</t>
  </si>
  <si>
    <t>ATH-FFR016</t>
  </si>
  <si>
    <t>PASSION FRUIT 30XBOX</t>
  </si>
  <si>
    <t>ATH-FFR017</t>
  </si>
  <si>
    <t>PAPAYA 1XBOX</t>
  </si>
  <si>
    <t>ATH-FFR018</t>
  </si>
  <si>
    <t>ATH-FFR019</t>
  </si>
  <si>
    <t>PEARS YELLOW 12XBOX</t>
  </si>
  <si>
    <t>ATH-FFR020</t>
  </si>
  <si>
    <t>ATH-FFR022</t>
  </si>
  <si>
    <t>STRAWBERRIES 135G</t>
  </si>
  <si>
    <t>ATH-FFR023</t>
  </si>
  <si>
    <t>GREEN BELL PEPPER 5KG</t>
  </si>
  <si>
    <t>RED BELL PEPPER 5KG</t>
  </si>
  <si>
    <t>YELLOW BELL PEPPER 5KG</t>
  </si>
  <si>
    <t>1.0 kg</t>
  </si>
  <si>
    <t>5.0 kg</t>
  </si>
  <si>
    <t>1.2 kg</t>
  </si>
  <si>
    <t>0.05 kg</t>
  </si>
  <si>
    <t>3.0 kg</t>
  </si>
  <si>
    <t>12.0 kg</t>
  </si>
  <si>
    <t>13.5 kg</t>
  </si>
  <si>
    <t>18.0 kg</t>
  </si>
  <si>
    <t>9.0 kg</t>
  </si>
  <si>
    <t>8.0 kg</t>
  </si>
  <si>
    <t>6.0 kg</t>
  </si>
  <si>
    <t>2.0 kg</t>
  </si>
  <si>
    <t>0.4 kg</t>
  </si>
  <si>
    <t>7.2 kg</t>
  </si>
  <si>
    <t>3.6 kg</t>
  </si>
  <si>
    <t>2.27 kg</t>
  </si>
  <si>
    <t>10.0 kg</t>
  </si>
  <si>
    <t>0.1 kg</t>
  </si>
  <si>
    <t>2.5 kg</t>
  </si>
  <si>
    <t>0.3 kg</t>
  </si>
  <si>
    <t>0.06 kg</t>
  </si>
  <si>
    <t>24.3 kg</t>
  </si>
  <si>
    <t>2.8 kg</t>
  </si>
  <si>
    <t>7.5 kg</t>
  </si>
  <si>
    <t>14.0 kg</t>
  </si>
  <si>
    <t>4.5 kg</t>
  </si>
  <si>
    <t>9.6 kg</t>
  </si>
  <si>
    <t>1.8 kg</t>
  </si>
  <si>
    <t>5.5 kg</t>
  </si>
  <si>
    <t>2.2 kg</t>
  </si>
  <si>
    <t>0.135 kg</t>
  </si>
  <si>
    <t>CABBAGE WHITE 12XBOX</t>
  </si>
  <si>
    <t>BUTTER 20X250G</t>
  </si>
  <si>
    <t>ATH-VEG016</t>
  </si>
  <si>
    <t>ARTICHOKE IN BRINE 12 X390G</t>
  </si>
  <si>
    <t>ATH-DRK016</t>
  </si>
  <si>
    <t>ATH-DRK017</t>
  </si>
  <si>
    <t>ATH-DRK018</t>
  </si>
  <si>
    <t>ATH-DRK019</t>
  </si>
  <si>
    <t>ATH-DRK020</t>
  </si>
  <si>
    <t>FANTA ORANGE BTL 12X1.5LTR</t>
  </si>
  <si>
    <t>COCA COLA BTL 12X1.5LTR</t>
  </si>
  <si>
    <t>COCA COLA DIET BTL 12X1.5LTR</t>
  </si>
  <si>
    <t>SPRITE BTL 6 X 2LTR</t>
  </si>
  <si>
    <t>PEPSI/DIET PEPSI BTL 12X1.5LTR</t>
  </si>
  <si>
    <t>PITTED APRICOTE 2.5KG</t>
  </si>
  <si>
    <t>ATH-BAK024</t>
  </si>
  <si>
    <t>ATH-BAK025</t>
  </si>
  <si>
    <t>ATH-BAK026</t>
  </si>
  <si>
    <t>INSTANT SOUP SACHETS 36X81G</t>
  </si>
  <si>
    <t>FILO PASTRY 1X470G</t>
  </si>
  <si>
    <t>ATH-BRD014</t>
  </si>
  <si>
    <t>CHOCOLATE CHIP COOKIES 11X150G</t>
  </si>
  <si>
    <t>ATH-BIS018</t>
  </si>
  <si>
    <t>CHOCOLATE WAFER STICKS 400G</t>
  </si>
  <si>
    <t>ATH-FPL013</t>
  </si>
  <si>
    <t>TOMATOES 6KG</t>
  </si>
  <si>
    <t>6.0kg</t>
  </si>
  <si>
    <t>TOMATO CHERRY 1.5KG</t>
  </si>
  <si>
    <t>1.5kg</t>
  </si>
  <si>
    <t>BROCCOLI 10X350G</t>
  </si>
  <si>
    <t>3.5kg</t>
  </si>
  <si>
    <t>CABBAGE RED 12XBOX</t>
  </si>
  <si>
    <t>CELERY 8XBOX</t>
  </si>
  <si>
    <t>4.0 kg</t>
  </si>
  <si>
    <t>EGGPLANT 12XBOX</t>
  </si>
  <si>
    <t>POTATOES WASHED 10KG</t>
  </si>
  <si>
    <t>POTATOES BAKING 15KG</t>
  </si>
  <si>
    <t>15.0 kg</t>
  </si>
  <si>
    <t>POTATOES SWEET 2KG</t>
  </si>
  <si>
    <t>SPRING ONIONS 12XBOX</t>
  </si>
  <si>
    <t>1.5 kg</t>
  </si>
  <si>
    <t>FROZEN SPINACH 1KG</t>
  </si>
  <si>
    <t>FROZEN WHOLE GREEN BEANS 2.5KG</t>
  </si>
  <si>
    <t>FROZEN BABY CARROTS 2.5KG</t>
  </si>
  <si>
    <t>FROZEN  ONION RINGS 0.75KG</t>
  </si>
  <si>
    <t>FROZEN  SWEETCORN 2.5KG</t>
  </si>
  <si>
    <t>FROZEN BROCOLLI 2.5KG</t>
  </si>
  <si>
    <t>FROZEN BRUSSEL SPROUTS 2.5KG</t>
  </si>
  <si>
    <t>FROZEN CAULIFLOWER 2.5KG</t>
  </si>
  <si>
    <t>FROZEN GREEN PEAS 2.5KG</t>
  </si>
  <si>
    <t>FROZEN MIXED VEGETABLES 2.5KG</t>
  </si>
  <si>
    <t>WALNUT HALVES 2KG W/SHELL</t>
  </si>
  <si>
    <t>CATERING HAZELNUTS 1KG W/SHELL</t>
  </si>
  <si>
    <t>ATH-HRB029</t>
  </si>
  <si>
    <t>CORSE WHEAT / BULGUR 5KG</t>
  </si>
  <si>
    <t>FINE WHEAT / BULGUR 5KG</t>
  </si>
  <si>
    <t>COURSE SEMOLINA 1.5KG</t>
  </si>
  <si>
    <t>ATH-RIC014</t>
  </si>
  <si>
    <t>ATH-RIC015</t>
  </si>
  <si>
    <t>ATH-RIC016</t>
  </si>
  <si>
    <t>EGGS FRESH 60PCS</t>
  </si>
  <si>
    <t>EGGS FRESH 180PCS</t>
  </si>
  <si>
    <t>ATH-HYG001</t>
  </si>
  <si>
    <t>ATH-HYG002</t>
  </si>
  <si>
    <t>ATH-HYG003</t>
  </si>
  <si>
    <t>ATH-HYG004</t>
  </si>
  <si>
    <t>ATH-HYG005</t>
  </si>
  <si>
    <t>RINSE AID 5LTR</t>
  </si>
  <si>
    <t>ATH-HYG006</t>
  </si>
  <si>
    <t>ATH-HYG007</t>
  </si>
  <si>
    <t>DISHWASHER LIQUID 5LTR</t>
  </si>
  <si>
    <t>ATH-HYG008</t>
  </si>
  <si>
    <t>ATH-HYG009</t>
  </si>
  <si>
    <t>ATH-HYG010</t>
  </si>
  <si>
    <t>RUBBER GLOVES KITCHEN 6PAIR</t>
  </si>
  <si>
    <t>ATH-HYG011</t>
  </si>
  <si>
    <t>ATH-HYG012</t>
  </si>
  <si>
    <t>ATH-HYG013</t>
  </si>
  <si>
    <t>ATH-HYG014</t>
  </si>
  <si>
    <t>BLEACH 5LTR</t>
  </si>
  <si>
    <t>ATH-HYG015</t>
  </si>
  <si>
    <t>ANTI BAC LIQUID CLEANER SPRAY 6X750ML</t>
  </si>
  <si>
    <t>ATH-HYG016</t>
  </si>
  <si>
    <t>ATH-HYG017</t>
  </si>
  <si>
    <t>WINDOW CLEANER 6X750ML</t>
  </si>
  <si>
    <t>ATH-HYG018</t>
  </si>
  <si>
    <t>ATH-HYG019</t>
  </si>
  <si>
    <t>FLOOR POLISH 5LTR</t>
  </si>
  <si>
    <t>ATH-HYG020</t>
  </si>
  <si>
    <t>FLOOR STRIPPER 5LTR</t>
  </si>
  <si>
    <t>ATH-HYG021</t>
  </si>
  <si>
    <t>ATH-HYG022</t>
  </si>
  <si>
    <t>FLY SPRAY 300ML 6X300ML</t>
  </si>
  <si>
    <t>ATH-HYG023</t>
  </si>
  <si>
    <t>ATH-HYG024</t>
  </si>
  <si>
    <t>ATH-HYG025</t>
  </si>
  <si>
    <t>ATH-HYG026</t>
  </si>
  <si>
    <t>BLACK BIN LINERS 200</t>
  </si>
  <si>
    <t>ATH-HYG027</t>
  </si>
  <si>
    <t>ATH-HYG028</t>
  </si>
  <si>
    <t>ATH-HYG029</t>
  </si>
  <si>
    <t>ATH-HYG030</t>
  </si>
  <si>
    <t>ATH-HYG031</t>
  </si>
  <si>
    <t>ATH-HYG032</t>
  </si>
  <si>
    <t>BAKING PAPER (GREASEPROOF PAPER) ROLL</t>
  </si>
  <si>
    <t>ATH-HYG033</t>
  </si>
  <si>
    <t>PLASTIC FORKS 1000</t>
  </si>
  <si>
    <t>ATH-HYG034</t>
  </si>
  <si>
    <t>PLASTIC KNIVES 1000</t>
  </si>
  <si>
    <t>ATH-HYG035</t>
  </si>
  <si>
    <t>PLASTIC TEASPOON 1000</t>
  </si>
  <si>
    <t>ATH-HYG036</t>
  </si>
  <si>
    <t>ATH-HYG037</t>
  </si>
  <si>
    <t>ATH-HYG039</t>
  </si>
  <si>
    <t>ATH-HYG040</t>
  </si>
  <si>
    <t>ATH-HYG041</t>
  </si>
  <si>
    <t>TOOTHBRUSH 12NO</t>
  </si>
  <si>
    <t>ATH-HYG042</t>
  </si>
  <si>
    <t>ATH-HYG043</t>
  </si>
  <si>
    <t>ATH-HYG044</t>
  </si>
  <si>
    <t>ATH-HYG045</t>
  </si>
  <si>
    <t>HAND SOAP LIQUID WITH PUMP 6X250ML</t>
  </si>
  <si>
    <t>ATH-HYG046</t>
  </si>
  <si>
    <t>ATH-HYG047</t>
  </si>
  <si>
    <t>ATH-HYG048</t>
  </si>
  <si>
    <t>COD FILLET FROZEN 1.82KG</t>
  </si>
  <si>
    <t>HADDOCK FILLET FROZEN 1.81KG</t>
  </si>
  <si>
    <t>WHOLE SALMON SIDE 1KG</t>
  </si>
  <si>
    <t>SALMON FILLET FROZEN 1KG</t>
  </si>
  <si>
    <t>CHICKEN BREAST B/LESS FROZEN 10KG</t>
  </si>
  <si>
    <t>CHICKEN GRILLER WHOLE FROZEN 1.2KG</t>
  </si>
  <si>
    <t>CHICKEN DRUMSTICK FROZEN 2.5KG</t>
  </si>
  <si>
    <t xml:space="preserve">CHICKEN THIGH BONELESS FROZEN 2.5KG </t>
  </si>
  <si>
    <t>CHICKEN LEG QUARTERS FROZEN 5KG</t>
  </si>
  <si>
    <t>CHICKEN LIVER FROZEN 2KG</t>
  </si>
  <si>
    <t>BATTERED CHICKEN NUGGETS FROZEN 2KG</t>
  </si>
  <si>
    <t>CHICKEN WINGS FROZEN 2.5KG</t>
  </si>
  <si>
    <t>DUCKLING WHOLE FROZEN 2.8KG</t>
  </si>
  <si>
    <t>TURKEY RASHERS FROZEN 1KG</t>
  </si>
  <si>
    <t>ATH-FPL014</t>
  </si>
  <si>
    <t>CHICKEN SAUSAGES READY TO EAT 300G</t>
  </si>
  <si>
    <t>PRICE PER KG</t>
  </si>
  <si>
    <t>BEEF LIVER FROZEN 1KG</t>
  </si>
  <si>
    <t>BEEF BURGERS FROZEN 48X113G</t>
  </si>
  <si>
    <t>BEEF MINCE FROZEN  2.25KG</t>
  </si>
  <si>
    <t>BEEF RUMP STEAK FROZEN 6X200G</t>
  </si>
  <si>
    <t>JJ</t>
  </si>
  <si>
    <t>PORK BONELESS COLLARS FROZEN 13.6KG</t>
  </si>
  <si>
    <t>PORK KNUCKLE / HOCKS BONE IN 1KG</t>
  </si>
  <si>
    <t>PORK LEG B/LESS APROX 3KG</t>
  </si>
  <si>
    <t>LAMB NECK FILLETS AVG 4KG 1KG</t>
  </si>
  <si>
    <t>LAMB SHANK 1KG</t>
  </si>
  <si>
    <t>DICED LAMB 2KG</t>
  </si>
  <si>
    <t>ATH-LMB007</t>
  </si>
  <si>
    <t>ATH-LMB008</t>
  </si>
  <si>
    <t>ATH-LMB009</t>
  </si>
  <si>
    <t>ATH-LMB010</t>
  </si>
  <si>
    <t>LAMB LIVER 15KG</t>
  </si>
  <si>
    <t>PRE COOKED LAMB SAMOSAS 15X120G</t>
  </si>
  <si>
    <t>PRE COOKED &amp; CUT LAMB DONNER 300G</t>
  </si>
  <si>
    <t>ATH-LMB011</t>
  </si>
  <si>
    <t>ATH-LMB012</t>
  </si>
  <si>
    <t>ATH-LMB013</t>
  </si>
  <si>
    <t>MEHMET EFENDI TURKISH COFFEE 250G</t>
  </si>
  <si>
    <t>ATH-COF014</t>
  </si>
  <si>
    <t>SPAM HAM 6X430G</t>
  </si>
  <si>
    <t>SPAM HAM 1.81KG</t>
  </si>
  <si>
    <t>ATH-MET006</t>
  </si>
  <si>
    <t>ATH-MET007</t>
  </si>
  <si>
    <t>BEEF CARVERY FORE RIB 1KG</t>
  </si>
  <si>
    <t>LOWRIE</t>
  </si>
  <si>
    <t>BEEF MARROW BONES 1KG</t>
  </si>
  <si>
    <t>ATH-BFF013</t>
  </si>
  <si>
    <t>ATH-BFF014</t>
  </si>
  <si>
    <t>PORK BELLY BONE-IN/RIND-ON 1KG</t>
  </si>
  <si>
    <t>PORK COLLAR 1KG</t>
  </si>
  <si>
    <t>BACON MISSHAPES 20KG — CASE</t>
  </si>
  <si>
    <t>SMOKED BACON BACKS — 1 KG</t>
  </si>
  <si>
    <t>GAMMON JOINTS — 1 KG</t>
  </si>
  <si>
    <t>SMOKED PANCETTA LARDONS (1KG) — PACK</t>
  </si>
  <si>
    <t>SMOKED SLICED STREAKY BACON — BOX</t>
  </si>
  <si>
    <t>SMOKED BACON MIS-SHAPES — 1 KG</t>
  </si>
  <si>
    <t>UNSMOKED STREAKY BACON 400GM PACK — PACK</t>
  </si>
  <si>
    <t>UNSMOKED BACON BACKS — 1 KG</t>
  </si>
  <si>
    <t>100% COOKED HAM AVE 3.5KG — 1 KG</t>
  </si>
  <si>
    <t>100% COOKED PORK JOINT — 1 KG</t>
  </si>
  <si>
    <t>SLICED GAMMON HAM 500G — EACH</t>
  </si>
  <si>
    <t>CHOPPED PORK 1.81KG TIN — EACH</t>
  </si>
  <si>
    <t>PORK SCRATCHINGS 40 x 80GM BAGS — PACK</t>
  </si>
  <si>
    <t>SLICED FARMHOUSE HAM 100% — EACH</t>
  </si>
  <si>
    <t>SLICED SMOKED HAM 500G — EACH</t>
  </si>
  <si>
    <t>SLICED COOKED PORK 100% 500G — EACH</t>
  </si>
  <si>
    <t>PORK BELLY BONE-IN/RIND-ON — 1 KG</t>
  </si>
  <si>
    <t>BONE IN PORK LOIN — 1 KG</t>
  </si>
  <si>
    <t>WESTVLEES BONE IN RIND ON LOIN — 1 KG</t>
  </si>
  <si>
    <t>WESTVLEES B/L/RIND ON PORK LOIN — 1 KG</t>
  </si>
  <si>
    <t>WESTVLEES BELLY RIBS (10kg) — 1 KG</t>
  </si>
  <si>
    <t>WESTVLEES PORK RIND — 1 KG</t>
  </si>
  <si>
    <t>PORK COLLAR — 1 KG</t>
  </si>
  <si>
    <t>BONELESS PORK COLLAR — 1 KG</t>
  </si>
  <si>
    <t>WESTVLEES BONELESS BELLY PORK — 1 KG</t>
  </si>
  <si>
    <t>SKINLESS GAMMONS (COOK BAGS) — 1 KG</t>
  </si>
  <si>
    <t>GAMMON STEAKS (2 PER PACK) — EACH</t>
  </si>
  <si>
    <t>GAMMON STEAKS 8oz (20 x 2) — CASE</t>
  </si>
  <si>
    <t>GAMMON STEAKS 10oz (15 x 2) — CASE</t>
  </si>
  <si>
    <t>WHOLE GAMMON BONE IN — 1 KG</t>
  </si>
  <si>
    <t>HORSESHOE GAMMONS — 1 KG</t>
  </si>
  <si>
    <t>PORK HORSESHOE LEG (BONELESS) — 1 KG</t>
  </si>
  <si>
    <t>FRESH RINDLESS PORK JOWLS — 1 KG</t>
  </si>
  <si>
    <t>PORK SHOULDER TRIM — 1 KG</t>
  </si>
  <si>
    <t>PORK LOIN RIBS — 1 KG</t>
  </si>
  <si>
    <t>WESTVLEES PIG'S STOMACH — 1 KG</t>
  </si>
  <si>
    <t>PIGS LIVER (10KG) — 1 KG</t>
  </si>
  <si>
    <t>FRESH PORK LOINS (VAC-PAC) — 1 KG</t>
  </si>
  <si>
    <t>BONELESS RIND ON LOINS — 1 KG</t>
  </si>
  <si>
    <t>WESTVLEES PORK LOIN (B/L-R/L) — 1 KG</t>
  </si>
  <si>
    <t>WESTVLEES PORK LEG + CHUMP — 1 KG</t>
  </si>
  <si>
    <t>FRESH PORK LEGS BONE IN — 1 KG</t>
  </si>
  <si>
    <t>WESTVLEES PORK MIDDLE — 1 KG</t>
  </si>
  <si>
    <t>PORK FAT 3 x 8KG AVE (C/WGT) — 1 KG</t>
  </si>
  <si>
    <t>BONELESS RIND ON SHOULDER — 1 KG</t>
  </si>
  <si>
    <t>SHOULDER WITHOUT SHANK — 1 KG</t>
  </si>
  <si>
    <t>PORK SHOULDERS (5D) — 1 KG</t>
  </si>
  <si>
    <t>PORK SHOULDERS (4D) — 1 KG</t>
  </si>
  <si>
    <t>SPLIT FRESH PIG — 1 KG</t>
  </si>
  <si>
    <t>WESTVLEES FRESH BELLIES 'B' — 1 KG</t>
  </si>
  <si>
    <t>SQUARE CUT BELLY PORK BONE IN RIND/FLANK OFF — 1 KG</t>
  </si>
  <si>
    <t>FRESH PORK TENDERLOIN (CHAIN OFF) — 1 KG</t>
  </si>
  <si>
    <t>BELLY TRIM 50% VL (WESTVLEES) — 1 KG</t>
  </si>
  <si>
    <t>PORK LEG TRIM 80% VL — 1 KG</t>
  </si>
  <si>
    <t>PORK SAUSAGE MEAT 1LB — EACH</t>
  </si>
  <si>
    <t>FRESH PORK CHIPOLATA 2.27KG — EACH</t>
  </si>
  <si>
    <t>PORK SPARE RIB AVERAGE 10KG CASE — BOX</t>
  </si>
  <si>
    <t>FROZEN PORK LOIN — 1 KG</t>
  </si>
  <si>
    <t>FROZEN PORK SHOULDER (4D) — 1 KG</t>
  </si>
  <si>
    <t>FROZEN HAM SHANKS 15 PER CASE — CASE</t>
  </si>
  <si>
    <t>WESTVLEES PIGS KIDNEY — 1 KG</t>
  </si>
  <si>
    <t>FROZEN GAMMON JOINTS — 1 KG</t>
  </si>
  <si>
    <t>FROZEN 80VL PORK LEG TRIM — 1 KG</t>
  </si>
  <si>
    <t>FROZEN 50VL PORK BELLY TRIM — 1 KG</t>
  </si>
  <si>
    <t>FZN PORK BELLY, BONE IN, RIND ON — 1 KG</t>
  </si>
  <si>
    <t>PIGS HEARTS (10kg) — 1 KG</t>
  </si>
  <si>
    <t>PIGS FEET — 1 KG</t>
  </si>
  <si>
    <t>PORK TENDERLOIN I.V.P. FROZEN — 1 KG</t>
  </si>
  <si>
    <t>FZN PORK BELLY 'B GRADE' — 1 KG</t>
  </si>
  <si>
    <t>PIGS IN BLANKETS 12 x 12 — CASE</t>
  </si>
  <si>
    <t>FROZEN CHIPOLATA SAUSAGES 2.27KG — BOX</t>
  </si>
  <si>
    <t>LINCOLNSHIRE 8's (4.54kg CASE) 55% — BOX</t>
  </si>
  <si>
    <t>PORK BELLY RIBS — 1 KG</t>
  </si>
  <si>
    <t>WHOLE GAMMON JOINT — 1 KG</t>
  </si>
  <si>
    <t>SLICED GAMMON — 1 KG</t>
  </si>
  <si>
    <t>PORK BELLY — 1 KG</t>
  </si>
  <si>
    <t>DICED PORK — 1 KG</t>
  </si>
  <si>
    <t>BONELESS PORK LEG JOINT — 1 KG</t>
  </si>
  <si>
    <t>PORK LEG JOINT (BONE IN) — 1 KG</t>
  </si>
  <si>
    <t>MARINATED PORK STEAKS — 1 KG</t>
  </si>
  <si>
    <t>PORK LOIN STEAKS — 1 KG</t>
  </si>
  <si>
    <t>PORK LOIN JOINT — 1 KG</t>
  </si>
  <si>
    <t>PORK SHOULDER — 1 KG</t>
  </si>
  <si>
    <t>ATH-PRK005</t>
  </si>
  <si>
    <t>ATH-PRK007</t>
  </si>
  <si>
    <t>ATH-PRK008</t>
  </si>
  <si>
    <t>ATH-PRK009</t>
  </si>
  <si>
    <t>ATH-PRK010</t>
  </si>
  <si>
    <t>ATH-PRK011</t>
  </si>
  <si>
    <t>ATH-PRK012</t>
  </si>
  <si>
    <t>ATH-PRK013</t>
  </si>
  <si>
    <t>ATH-PRK014</t>
  </si>
  <si>
    <t>ATH-PRK015</t>
  </si>
  <si>
    <t>ATH-PRK016</t>
  </si>
  <si>
    <t>ATH-PRK017</t>
  </si>
  <si>
    <t>ATH-PRK018</t>
  </si>
  <si>
    <t>ATH-PRK019</t>
  </si>
  <si>
    <t>ATH-PRK020</t>
  </si>
  <si>
    <t>ATH-PRK021</t>
  </si>
  <si>
    <t>ATH-PRK022</t>
  </si>
  <si>
    <t>ATH-PRK023</t>
  </si>
  <si>
    <t>ATH-PRK024</t>
  </si>
  <si>
    <t>ATH-PRK025</t>
  </si>
  <si>
    <t>ATH-PRK026</t>
  </si>
  <si>
    <t>ATH-PRK027</t>
  </si>
  <si>
    <t>ATH-PRK028</t>
  </si>
  <si>
    <t>ATH-PRK029</t>
  </si>
  <si>
    <t>ATH-PRK030</t>
  </si>
  <si>
    <t>ATH-PRK031</t>
  </si>
  <si>
    <t>ATH-PRK032</t>
  </si>
  <si>
    <t>ATH-PRK033</t>
  </si>
  <si>
    <t>ATH-PRK034</t>
  </si>
  <si>
    <t>ATH-PRK035</t>
  </si>
  <si>
    <t>ATH-PRK036</t>
  </si>
  <si>
    <t>ATH-PRK037</t>
  </si>
  <si>
    <t>ATH-PRK038</t>
  </si>
  <si>
    <t>ATH-PRK039</t>
  </si>
  <si>
    <t>ATH-PRK040</t>
  </si>
  <si>
    <t>ATH-PRK041</t>
  </si>
  <si>
    <t>ATH-PRK042</t>
  </si>
  <si>
    <t>ATH-PRK043</t>
  </si>
  <si>
    <t>ATH-PRK044</t>
  </si>
  <si>
    <t>ATH-PRK045</t>
  </si>
  <si>
    <t>ATH-PRK046</t>
  </si>
  <si>
    <t>ATH-PRK047</t>
  </si>
  <si>
    <t>ATH-PRK048</t>
  </si>
  <si>
    <t>ATH-PRK049</t>
  </si>
  <si>
    <t>ATH-PRK050</t>
  </si>
  <si>
    <t>ATH-PRK051</t>
  </si>
  <si>
    <t>ATH-PRK052</t>
  </si>
  <si>
    <t>ATH-PRK053</t>
  </si>
  <si>
    <t>ATH-PRK054</t>
  </si>
  <si>
    <t>ATH-PRK055</t>
  </si>
  <si>
    <t>ATH-PRK056</t>
  </si>
  <si>
    <t>ATH-PRK057</t>
  </si>
  <si>
    <t>ATH-PRK058</t>
  </si>
  <si>
    <t>ATH-PRK059</t>
  </si>
  <si>
    <t>ATH-PRK060</t>
  </si>
  <si>
    <t>ATH-PRK061</t>
  </si>
  <si>
    <t>ATH-PRK062</t>
  </si>
  <si>
    <t>ATH-PRK063</t>
  </si>
  <si>
    <t>ATH-PRK064</t>
  </si>
  <si>
    <t>ATH-PRK065</t>
  </si>
  <si>
    <t>ATH-PRK066</t>
  </si>
  <si>
    <t>ATH-PRK067</t>
  </si>
  <si>
    <t>ATH-PRK068</t>
  </si>
  <si>
    <t>ATH-PRK069</t>
  </si>
  <si>
    <t>ATH-PRK070</t>
  </si>
  <si>
    <t>ATH-PRK071</t>
  </si>
  <si>
    <t>ATH-PRK072</t>
  </si>
  <si>
    <t>ATH-PRK073</t>
  </si>
  <si>
    <t>ATH-PRK074</t>
  </si>
  <si>
    <t>ATH-PRK075</t>
  </si>
  <si>
    <t>ATH-PRK076</t>
  </si>
  <si>
    <t>ATH-PRK077</t>
  </si>
  <si>
    <t>ATH-PRK078</t>
  </si>
  <si>
    <t>ATH-PRK079</t>
  </si>
  <si>
    <t>ATH-PRK080</t>
  </si>
  <si>
    <t>ATH-PRK081</t>
  </si>
  <si>
    <t>ATH-PRK082</t>
  </si>
  <si>
    <t>ATH-PRK083</t>
  </si>
  <si>
    <t>ATH-PRK084</t>
  </si>
  <si>
    <t>ATH-PRK085</t>
  </si>
  <si>
    <t>ATH-PRK086</t>
  </si>
  <si>
    <t>ATH-PRK087</t>
  </si>
  <si>
    <t>ATH-PRK088</t>
  </si>
  <si>
    <t>ATH-PRK089</t>
  </si>
  <si>
    <t xml:space="preserve"> PORK</t>
  </si>
  <si>
    <t xml:space="preserve"> BEEF</t>
  </si>
  <si>
    <t>BUTTER CROISSANTS READY TO BAKE 30PC</t>
  </si>
  <si>
    <t>BAGUETTES HALF BAKED / FRENCH LONG BREAD 30PCS</t>
  </si>
  <si>
    <t>WHITE BREAD 800G</t>
  </si>
  <si>
    <t>BROWN / WHOLEMEAL BREAD  800G</t>
  </si>
  <si>
    <t>BOOKER</t>
  </si>
  <si>
    <t>YELLOWFIN TUNA LOIN WHOLE 20KG</t>
  </si>
  <si>
    <t>YELLOWFIN TUNA LOIN STEAK 1 KG</t>
  </si>
  <si>
    <t>PRAWNS KING RAW 16/20 1KG</t>
  </si>
  <si>
    <t>PRAWNS KING RAW PEELED 41/50 1KG</t>
  </si>
  <si>
    <t>SQUID RINGS BATTERED 700G</t>
  </si>
  <si>
    <t>SCALLOPS 1KG</t>
  </si>
  <si>
    <t>SEAFOOD COCKTAIL 1KG</t>
  </si>
  <si>
    <t xml:space="preserve">MUSSELES WHOLE SHELL </t>
  </si>
  <si>
    <t>FISHCAKES 30X85G / 2.55KG</t>
  </si>
  <si>
    <t>SCAMPI BREADED 1 KG</t>
  </si>
  <si>
    <t>COOKED AMERICAN LOBSTER 350G</t>
  </si>
  <si>
    <t>OCEAN / CRAB STICKS 1KG</t>
  </si>
  <si>
    <t>SOFTSHELL CRAB SIZE 18 1KG</t>
  </si>
  <si>
    <t>UNAGI KABAYAKI FILLETS 5KG</t>
  </si>
  <si>
    <t>TILAPIA FILLETS  5KG</t>
  </si>
  <si>
    <t>WHOLE SEA BREAM GILLED &amp; GUTTED 1KG</t>
  </si>
  <si>
    <t>DOGFISH 12.7KG</t>
  </si>
  <si>
    <t>TURKEY WHOLE FROZEN</t>
  </si>
  <si>
    <t>NEWCASTLE</t>
  </si>
  <si>
    <t>FROZEN FRUITS</t>
  </si>
  <si>
    <t>ATH-FRF001</t>
  </si>
  <si>
    <t>ATH-FRF002</t>
  </si>
  <si>
    <t>ATH-FRF003</t>
  </si>
  <si>
    <t>ATH-FRF004</t>
  </si>
  <si>
    <t>ATH-FRF005</t>
  </si>
  <si>
    <t>ATH-FRF006</t>
  </si>
  <si>
    <t>ATH-FRF007</t>
  </si>
  <si>
    <t>ATH-FRF008</t>
  </si>
  <si>
    <t>ATH-FRF009</t>
  </si>
  <si>
    <t>ATH-FRF010</t>
  </si>
  <si>
    <t>ATH-FRV001</t>
  </si>
  <si>
    <t>ATH-FRV002</t>
  </si>
  <si>
    <t>ATH-FRV003</t>
  </si>
  <si>
    <t>ATH-FRV004</t>
  </si>
  <si>
    <t>ATH-FRV005</t>
  </si>
  <si>
    <t>ATH-FRV006</t>
  </si>
  <si>
    <t>ATH-FRV007</t>
  </si>
  <si>
    <t>ATH-FRV008</t>
  </si>
  <si>
    <t>ATH-FRV009</t>
  </si>
  <si>
    <t>ATH-FRV010</t>
  </si>
  <si>
    <t>FROZEN STRAWBERRIES 350</t>
  </si>
  <si>
    <t>FROZEN BLUEBERRIES 350G</t>
  </si>
  <si>
    <t>FROZEN PINEAPPLE CHUNKS 450G</t>
  </si>
  <si>
    <t>FROZEN RASBERRIES 300G</t>
  </si>
  <si>
    <t>FROZEN MANGO CHUNKS 500G</t>
  </si>
  <si>
    <t>FROZEN SUMMER FRUITS MIX 430G</t>
  </si>
  <si>
    <t xml:space="preserve">Pomegranate Salad Dressing BTL 1KG </t>
  </si>
  <si>
    <t>ATH-SAU051</t>
  </si>
  <si>
    <t>ATH-HRB030</t>
  </si>
  <si>
    <t>ATH-HRB031</t>
  </si>
  <si>
    <t>SUUPLIER UNIT</t>
  </si>
  <si>
    <t>C/S</t>
  </si>
  <si>
    <t>BOX</t>
  </si>
  <si>
    <t>TUB</t>
  </si>
  <si>
    <t>BAG</t>
  </si>
  <si>
    <t>PKT</t>
  </si>
  <si>
    <t>JAR</t>
  </si>
  <si>
    <t>TIN</t>
  </si>
  <si>
    <t xml:space="preserve"> BOX</t>
  </si>
  <si>
    <t>BTL</t>
  </si>
  <si>
    <t>NUTELLA 6X350G</t>
  </si>
  <si>
    <t>NUTELLA 1KG</t>
  </si>
  <si>
    <t>ATH-JAM011</t>
  </si>
  <si>
    <t>ATH-JAM012</t>
  </si>
  <si>
    <t>KG</t>
  </si>
  <si>
    <t>PCS</t>
  </si>
  <si>
    <t xml:space="preserve">BOX </t>
  </si>
  <si>
    <t>SOUR CREAM 890G</t>
  </si>
  <si>
    <t>YOGHURT PLAIN 5KG</t>
  </si>
  <si>
    <t>BCH</t>
  </si>
  <si>
    <t>DILL BUNCH 100G</t>
  </si>
  <si>
    <t>HEAD</t>
  </si>
  <si>
    <t>LETTUCE ROMAINE 10XBOX</t>
  </si>
  <si>
    <t>MINT BUNCH 100G</t>
  </si>
  <si>
    <t>PARSLEY BUNCH 100G</t>
  </si>
  <si>
    <t>ATH-CRP008</t>
  </si>
  <si>
    <t>ATH-CRP009</t>
  </si>
  <si>
    <t>ATH-CRP010</t>
  </si>
  <si>
    <t>ATH-CRP011</t>
  </si>
  <si>
    <t>ATH-CRP012</t>
  </si>
  <si>
    <t>ATH-CRP013</t>
  </si>
  <si>
    <t>ATH-CRP014</t>
  </si>
  <si>
    <t>ATH-CRP015</t>
  </si>
  <si>
    <t>ATH-CRP016</t>
  </si>
  <si>
    <t>ATH-CRP017</t>
  </si>
  <si>
    <t>ATH-CRP018</t>
  </si>
  <si>
    <t>ATH-CRP019</t>
  </si>
  <si>
    <t>ATH-CRP020</t>
  </si>
  <si>
    <t>ATH-CRP021</t>
  </si>
  <si>
    <t>ATH-CRP022</t>
  </si>
  <si>
    <t>ATH-CRP023</t>
  </si>
  <si>
    <t>ATH-CRP024</t>
  </si>
  <si>
    <t>ATH-CRP025</t>
  </si>
  <si>
    <t>ATH-CRP026</t>
  </si>
  <si>
    <t>ITAC CASHEWS 400G</t>
  </si>
  <si>
    <t>ITAC ALMONDS 900G</t>
  </si>
  <si>
    <t>ITAC ALMONDS 400G</t>
  </si>
  <si>
    <t>ITAC DRIED MANGO 250G</t>
  </si>
  <si>
    <t>ITAC PINE NUTS 400G</t>
  </si>
  <si>
    <t>ITAC SHELLED PISTACHIOS 350G</t>
  </si>
  <si>
    <t>ITAC PUMPKIN SEEDS 400G</t>
  </si>
  <si>
    <t>ITAC BRAZIL NUTS 400G</t>
  </si>
  <si>
    <t>ITAC WALNUTS HALVES 400G</t>
  </si>
  <si>
    <t>ITAC PITTED PRUNES 400G</t>
  </si>
  <si>
    <t>ITAC SUNFLOWER SEEDS 400G</t>
  </si>
  <si>
    <t>ITAC ROASTED MONKEY NUTS 600G</t>
  </si>
  <si>
    <t>ITAC WHOLE DRIED CRANBERRIES 400G</t>
  </si>
  <si>
    <t>ITAC HONEY ROASTED CASHEWS 400G</t>
  </si>
  <si>
    <t>ITAC ROASTED &amp; SALTED PISTACHIOS 400G</t>
  </si>
  <si>
    <t>ITAC ROASTED &amp; SALTED CASHEWS 400G</t>
  </si>
  <si>
    <t>ITAC VALUE FRUIT &amp; NUT MIX 400G</t>
  </si>
  <si>
    <t>ITAC LUXURY FRUIT &amp; NUT SELECTION 500G</t>
  </si>
  <si>
    <t>ITAC VALUE FRUIT &amp; NUT MIX 900G</t>
  </si>
  <si>
    <t>ATH-BIS019</t>
  </si>
  <si>
    <t>FLIPZ CINNAMON BUN FLAVOUR COATED PRETZEL SNACKS 12X80G</t>
  </si>
  <si>
    <t>ATH-BIS020</t>
  </si>
  <si>
    <t>FLIPZ MILK CHOCOLATE COATED PRETZEL SNACKS 12X80G</t>
  </si>
  <si>
    <t>ATH-BIS021</t>
  </si>
  <si>
    <t>FLIPZ PEANUT BUTTER FLAVOUR COATED PRETZEL SNACKS 12X80G</t>
  </si>
  <si>
    <t>ATH-BIS022</t>
  </si>
  <si>
    <t>FOX'S FAVOURITES 9 VARIETIES BISCUIT SELECTION 6X350G</t>
  </si>
  <si>
    <t>ATH-BIS023</t>
  </si>
  <si>
    <t>FOX'S GOLDEN CRUNCH CREAMS 12X200G</t>
  </si>
  <si>
    <t>ATH-BIS024</t>
  </si>
  <si>
    <t>JACK'S BOURBON CREAM BISCUITS 12X400G</t>
  </si>
  <si>
    <t>ATH-BIS025</t>
  </si>
  <si>
    <t>JACK'S BOURBON CREAM BISCUITS 12X150G</t>
  </si>
  <si>
    <t>ATH-BIS026</t>
  </si>
  <si>
    <t>JACK'S COCONUT RINGS 12X300G</t>
  </si>
  <si>
    <t>ATH-BIS027</t>
  </si>
  <si>
    <t>JACK'S CREAM CRACKERS 12X300G</t>
  </si>
  <si>
    <t>ATH-BIS028</t>
  </si>
  <si>
    <t>JACK'S CUSTARD CREAMS BISCUITS 12X150G</t>
  </si>
  <si>
    <t>ATH-BIS029</t>
  </si>
  <si>
    <t>JACK'S CUSTARD CREAM BISCUITS 12X400G</t>
  </si>
  <si>
    <t>ATH-BIS030</t>
  </si>
  <si>
    <t>JACK'S FIG ROLLS 12X200G</t>
  </si>
  <si>
    <t>ATH-BIS031</t>
  </si>
  <si>
    <t>JACK'S GINGER NUT BISCUITS 18X200G</t>
  </si>
  <si>
    <t>ATH-BIS032</t>
  </si>
  <si>
    <t>JACK'S MALTED MILK BISCUITS 12X200G</t>
  </si>
  <si>
    <t>ATH-BIS033</t>
  </si>
  <si>
    <t>JACK'S MILK CHOCOLATE DIGESTIVE BISCUITS 12X200G</t>
  </si>
  <si>
    <t>ATH-BIS034</t>
  </si>
  <si>
    <t>JACK'S MORNING COFFEE 12X150G</t>
  </si>
  <si>
    <t>ATH-BIS035</t>
  </si>
  <si>
    <t>JACK'S NICE BISCUITS 12X200G</t>
  </si>
  <si>
    <t>ATH-BIS036</t>
  </si>
  <si>
    <t>JACK'S PINK WAFERS 13X100G</t>
  </si>
  <si>
    <t>ATH-BIS037</t>
  </si>
  <si>
    <t>JACK'S SHORTCAKE BISCUITS 12X150G</t>
  </si>
  <si>
    <t>ATH-BIS038</t>
  </si>
  <si>
    <t>JACK'S SHORTIES 12X200G</t>
  </si>
  <si>
    <t>ATH-BIS039</t>
  </si>
  <si>
    <t>JACOB'S THE SELECTION 8 CRACKER VARIETIES 6X900G</t>
  </si>
  <si>
    <t>ATH-BIS040</t>
  </si>
  <si>
    <t>JACOB'S BAKED CHEDDARS CHEESE CRACKERS 12X150G</t>
  </si>
  <si>
    <t>ATH-BIS041</t>
  </si>
  <si>
    <t>JACOB'S CREAM CRACKERS 12X300G</t>
  </si>
  <si>
    <t>ATH-BIS042</t>
  </si>
  <si>
    <t>JACOB'S TUC ORIGINAL SNACK CRACKERS 12X150G</t>
  </si>
  <si>
    <t>ATH-BIS043</t>
  </si>
  <si>
    <t>JACOB'S TUC ORIGINAL SNACK CRACKERS 12X150G (PMP £1.79)</t>
  </si>
  <si>
    <t>ATH-BIS044</t>
  </si>
  <si>
    <t>KIND CARAMEL ALMOND &amp; SEA SALT BARS 12X40G</t>
  </si>
  <si>
    <t>ATH-BIS045</t>
  </si>
  <si>
    <t>KIND CARAMEL CHOCOLATE PEANUT 12X40G</t>
  </si>
  <si>
    <t>ATH-BIS046</t>
  </si>
  <si>
    <t>KIND DARK CHOCOLATE NUTS &amp; SEA SALT 12X40G</t>
  </si>
  <si>
    <t>ATH-BIS047</t>
  </si>
  <si>
    <t>KIND PEANUT BUTTER DARK CHOCOLATE 12X40G</t>
  </si>
  <si>
    <t>ATH-BIS048</t>
  </si>
  <si>
    <t>KIND PROTEIN CRUNCHY PEANUT BUTTER 12X50G</t>
  </si>
  <si>
    <t>ATH-BIS049</t>
  </si>
  <si>
    <t>KIND PROTEIN DARK CHOCOLATE NUT 12X50G</t>
  </si>
  <si>
    <t>ATH-BIS050</t>
  </si>
  <si>
    <t>KIND PROTEIN CARAMEL NUT 12X50G</t>
  </si>
  <si>
    <t>ATH-BIS051</t>
  </si>
  <si>
    <t>AFTER EIGHT DARK MINT CHOCOLATE BOX 18X300G</t>
  </si>
  <si>
    <t>ATH-BIS052</t>
  </si>
  <si>
    <t>CADBURY HEROES CHOCOLATE ASSORTMENT BOX 6X290G</t>
  </si>
  <si>
    <t>ATH-BIS053</t>
  </si>
  <si>
    <t>CADBURY ROSES CHOCOLATE ASSORTMENT BOX 6X290G</t>
  </si>
  <si>
    <t>ATH-BIS054</t>
  </si>
  <si>
    <t>CADBURY MILK TRAY CHOCOLATE PRALINES 6X312G</t>
  </si>
  <si>
    <t>ATH-BIS055</t>
  </si>
  <si>
    <t>CADBURY MILK TRAY CHOCOLATE PRALINES 6X445G</t>
  </si>
  <si>
    <t>ATH-BIS056</t>
  </si>
  <si>
    <t>DAIRY BOX MILK CHOCOLATE BOX 8X160G</t>
  </si>
  <si>
    <t>ATH-BIS057</t>
  </si>
  <si>
    <t>LINDT LINDOR ASSORTED CHOCOLATE TRUFFLES 8X200G</t>
  </si>
  <si>
    <t>ATH-BIS058</t>
  </si>
  <si>
    <t>LINDT LINDOR MILK CHOCOLATE TRUFFLES 8X200G</t>
  </si>
  <si>
    <t>ATH-BIS059</t>
  </si>
  <si>
    <t>MALTESERS MILK CHOCOLATE GIFT BOX 16X110G</t>
  </si>
  <si>
    <t>ATH-BIS060</t>
  </si>
  <si>
    <t>QUALITY STREET CHOCOLATE CARTON 6X220G</t>
  </si>
  <si>
    <t>ATH-BIS061</t>
  </si>
  <si>
    <t>FERRERO ROCHER MILK CHOCOLATE HAZELNUT 5X200G</t>
  </si>
  <si>
    <t>ATH-BIS062</t>
  </si>
  <si>
    <t>FERRERO ROCHER MILK CHOCOLATE HAZELNUT 6X300G</t>
  </si>
  <si>
    <t>ATH-BIS063</t>
  </si>
  <si>
    <t>TERRY'S CHOCOLATE ORANGE BALL 12X145G</t>
  </si>
  <si>
    <t>ATH-BIS064</t>
  </si>
  <si>
    <t>THORNTONS CLASSIC COLLECTION CHOCOLATE BOX 6X262G</t>
  </si>
  <si>
    <t>CRISPS &amp; NUTS</t>
  </si>
  <si>
    <t>ATH-FFR024</t>
  </si>
  <si>
    <t>ATH-FFR025</t>
  </si>
  <si>
    <t>ATH-HRB032</t>
  </si>
  <si>
    <t>ATH-HRB033</t>
  </si>
  <si>
    <t>ATH-HRB034</t>
  </si>
  <si>
    <t>ATH-HRB035</t>
  </si>
  <si>
    <t>ATH-HRB036</t>
  </si>
  <si>
    <t>ATH-HRB037</t>
  </si>
  <si>
    <t>ATH-HRB038</t>
  </si>
  <si>
    <t>ATH-HRB039</t>
  </si>
  <si>
    <t>ATH-HRB040</t>
  </si>
  <si>
    <t>ATH-HRB041</t>
  </si>
  <si>
    <t>ATH-HRB042</t>
  </si>
  <si>
    <t>ATH-HRB043</t>
  </si>
  <si>
    <t>ATH-HRB044</t>
  </si>
  <si>
    <t>ATH-HRB045</t>
  </si>
  <si>
    <t>ATH-HRB046</t>
  </si>
  <si>
    <t>ATH-HRB047</t>
  </si>
  <si>
    <t>ATH-HRB048</t>
  </si>
  <si>
    <t>ATH-HRB049</t>
  </si>
  <si>
    <t>ATH-HRB050</t>
  </si>
  <si>
    <t>ATH-HRB051</t>
  </si>
  <si>
    <t>ATH-HRB052</t>
  </si>
  <si>
    <t>ATH-HRB053</t>
  </si>
  <si>
    <t>ATH-HRB054</t>
  </si>
  <si>
    <t>ATH-HRB055</t>
  </si>
  <si>
    <t>ATH-HRB056</t>
  </si>
  <si>
    <t>ATH-HRB057</t>
  </si>
  <si>
    <t>ATH-HRB058</t>
  </si>
  <si>
    <t>ATH-HRB059</t>
  </si>
  <si>
    <t>ATH-HRB060</t>
  </si>
  <si>
    <t>ATH-HRB061</t>
  </si>
  <si>
    <t>ATH-HRB062</t>
  </si>
  <si>
    <t>ATH-HRB063</t>
  </si>
  <si>
    <t>ATH-HRB064</t>
  </si>
  <si>
    <t>ATH-HRB065</t>
  </si>
  <si>
    <t>ATH-HRB066</t>
  </si>
  <si>
    <t>ATH-HRB067</t>
  </si>
  <si>
    <t>ATH-HRB068</t>
  </si>
  <si>
    <t>ATH-HRB069</t>
  </si>
  <si>
    <t>ATH-HRB070</t>
  </si>
  <si>
    <t>ATH-HRB071</t>
  </si>
  <si>
    <t>ATH-HRB072</t>
  </si>
  <si>
    <t>ATH-HRB073</t>
  </si>
  <si>
    <t>ATH-HRB074</t>
  </si>
  <si>
    <t>ATH-HRB075</t>
  </si>
  <si>
    <t>ATH-HRB076</t>
  </si>
  <si>
    <t>ATH-HRB077</t>
  </si>
  <si>
    <t>ATH-HRB078</t>
  </si>
  <si>
    <t>ATH-HRB079</t>
  </si>
  <si>
    <t>ATH-HRB080</t>
  </si>
  <si>
    <t>ATH-HRB081</t>
  </si>
  <si>
    <t>ATH-HRB082</t>
  </si>
  <si>
    <t>ATH-HRB083</t>
  </si>
  <si>
    <t>ATH-HRB084</t>
  </si>
  <si>
    <t>ATH-HRB085</t>
  </si>
  <si>
    <t>ATH-HRB086</t>
  </si>
  <si>
    <t>Cooks&amp;Co Chopped Garlic in Oil 1 x 1.2kg</t>
  </si>
  <si>
    <t>ATH-HRB087</t>
  </si>
  <si>
    <t>Cooks&amp;Co Chopped Garlic in Oil 4 x 1.2kg</t>
  </si>
  <si>
    <t>ATH-HRB088</t>
  </si>
  <si>
    <t>ATH-HRB089</t>
  </si>
  <si>
    <t>ATH-HRB090</t>
  </si>
  <si>
    <t>ATH-HRB091</t>
  </si>
  <si>
    <t>ATH-HRB092</t>
  </si>
  <si>
    <t>ATH-HRB093</t>
  </si>
  <si>
    <t>ATH-HRB094</t>
  </si>
  <si>
    <t>ATH-HRB095</t>
  </si>
  <si>
    <t>ATH-HRB096</t>
  </si>
  <si>
    <t>ATH-HRB097</t>
  </si>
  <si>
    <t>ATH-HRB098</t>
  </si>
  <si>
    <t>ATH-HRB099</t>
  </si>
  <si>
    <t>ATH-HRB100</t>
  </si>
  <si>
    <t>ATH-HRB101</t>
  </si>
  <si>
    <t>ATH-HRB102</t>
  </si>
  <si>
    <t>ATH-HRB103</t>
  </si>
  <si>
    <t>ATH-HRB104</t>
  </si>
  <si>
    <t>ATH-HRB105</t>
  </si>
  <si>
    <t>ATH-HRB106</t>
  </si>
  <si>
    <t>ATH-HRB107</t>
  </si>
  <si>
    <t>ATH-HRB108</t>
  </si>
  <si>
    <t>ATH-HRB109</t>
  </si>
  <si>
    <t>ATH-HRB110</t>
  </si>
  <si>
    <t>ATH-HRB111</t>
  </si>
  <si>
    <t>ATH-HRB112</t>
  </si>
  <si>
    <t>ATH-HRB113</t>
  </si>
  <si>
    <t>ATH-HRB114</t>
  </si>
  <si>
    <t>ATH-HRB115</t>
  </si>
  <si>
    <t>ATH-HRB116</t>
  </si>
  <si>
    <t>ATH-HRB117</t>
  </si>
  <si>
    <t>ATH-HRB118</t>
  </si>
  <si>
    <t>ATH-HRB119</t>
  </si>
  <si>
    <t>ATH-HRB120</t>
  </si>
  <si>
    <t>ATH-HRB121</t>
  </si>
  <si>
    <t>ATH-HRB122</t>
  </si>
  <si>
    <t>ATH-HRB123</t>
  </si>
  <si>
    <t>ATH-HRB124</t>
  </si>
  <si>
    <t>ATH-HRB125</t>
  </si>
  <si>
    <t>ATH-HRB126</t>
  </si>
  <si>
    <t>ATH-HRB127</t>
  </si>
  <si>
    <t>ATH-HRB128</t>
  </si>
  <si>
    <t>ATH-HRB129</t>
  </si>
  <si>
    <t>ATH-HRB130</t>
  </si>
  <si>
    <t>ATH-HRB131</t>
  </si>
  <si>
    <t>ATH-HRB132</t>
  </si>
  <si>
    <t>ATH-HRB133</t>
  </si>
  <si>
    <t>ATH-HRB134</t>
  </si>
  <si>
    <t>Isfi Chinese 5 Spice 1 x 440g</t>
  </si>
  <si>
    <t>ATH-HRB135</t>
  </si>
  <si>
    <t>Isfi Chinese 5 Spice 6 x 440g</t>
  </si>
  <si>
    <t>ATH-HRB136</t>
  </si>
  <si>
    <t>ATH-HRB137</t>
  </si>
  <si>
    <t>ATH-HRB138</t>
  </si>
  <si>
    <t>ATH-HRB139</t>
  </si>
  <si>
    <t>ATH-HRB140</t>
  </si>
  <si>
    <t>ATH-HRB141</t>
  </si>
  <si>
    <t>ATH-HRB142</t>
  </si>
  <si>
    <t>ATH-HRB143</t>
  </si>
  <si>
    <t>ATH-HRB144</t>
  </si>
  <si>
    <t>ATH-HRB145</t>
  </si>
  <si>
    <t>ATH-HRB146</t>
  </si>
  <si>
    <t>ATH-HRB147</t>
  </si>
  <si>
    <t>ATH-HRB148</t>
  </si>
  <si>
    <t>Chef's Menu Basil 1 x 160g</t>
  </si>
  <si>
    <t>Chef's Menu Basil 6 x 160g</t>
  </si>
  <si>
    <t>Chef's Menu Chives 1 x 50g</t>
  </si>
  <si>
    <t>Chef's Menu Chives 6 x 50g</t>
  </si>
  <si>
    <t>Chef's Menu Mixed Herbs 1 x 150g</t>
  </si>
  <si>
    <t>Chef's Menu Mixed Herbs 6 x 150g</t>
  </si>
  <si>
    <t>Chef's Menu Oregano 1 x 150g</t>
  </si>
  <si>
    <t>Chef's Menu Oregano 6 x 150g</t>
  </si>
  <si>
    <t>Chef's Menu Parsley 1 x 120g</t>
  </si>
  <si>
    <t>Chef's Menu Parsley 6 x 120g</t>
  </si>
  <si>
    <t>Chef's Menu Rosemary 1 x 280g</t>
  </si>
  <si>
    <t>Chef's Menu Rosemary 6 x 280g</t>
  </si>
  <si>
    <t>Chef's Menu Sage 1 x 135g</t>
  </si>
  <si>
    <t>Chef's Menu Sage 6 x 135g</t>
  </si>
  <si>
    <t>Chef's Menu Thyme 1 x 200g</t>
  </si>
  <si>
    <t>Chef's Menu Thyme 6 x 200g</t>
  </si>
  <si>
    <t>Chef's Menu Whole Bay Leaves 1 x 30g</t>
  </si>
  <si>
    <t>Chef's Menu Whole Bay Leaves 6 x 30g</t>
  </si>
  <si>
    <t>Chef's Menu Cayenne Pepper 1 x 460g</t>
  </si>
  <si>
    <t>Chef's Menu Cayenne Pepper 6 x 460g</t>
  </si>
  <si>
    <t>Chef's Menu Coarse Ground Black Pepper 1 x 500g</t>
  </si>
  <si>
    <t>Chef's Menu Coarse Ground Black Pepper 6 x 500g</t>
  </si>
  <si>
    <t>Chef's Menu Cracked Black Pepper 1 x 500g</t>
  </si>
  <si>
    <t>Chef's Menu Cracked Black Pepper 6 x 500g</t>
  </si>
  <si>
    <t>Chef's Menu Ground Black Pepper 1 x 500g</t>
  </si>
  <si>
    <t>Chef's Menu Ground Black Pepper 6 x 500g</t>
  </si>
  <si>
    <t>Chef's Menu Ground White Pepper 1 x 550g</t>
  </si>
  <si>
    <t>Chef's Menu Ground White Pepper 6 x 550g</t>
  </si>
  <si>
    <t>Chef's Menu Pink Peppercorns 1 x 250g</t>
  </si>
  <si>
    <t>Chef's Menu Pink Peppercorns 6 x 250g</t>
  </si>
  <si>
    <t>Chef's Menu Whole Black Peppercorns 1 x 500g</t>
  </si>
  <si>
    <t>Chef's Menu Whole Black Peppercorns 6 x 500g</t>
  </si>
  <si>
    <t>Kerala Cracked Black Pepper 1 x 2kg</t>
  </si>
  <si>
    <t>Kerala Cracked Black Pepper 6 x 2kg</t>
  </si>
  <si>
    <t>Kerala Ground Black Pepper 1 x 2kg</t>
  </si>
  <si>
    <t>Kerala Ground Black Pepper 6 x 2kg</t>
  </si>
  <si>
    <t>Lichfields Whole Black Peppercorns 1 x 200g</t>
  </si>
  <si>
    <t>Lichfields Whole Black Peppercorns 6 x 200g</t>
  </si>
  <si>
    <t>Noel's Green Peppercorns in Brine 1 x 800ml</t>
  </si>
  <si>
    <t>Noel's Green Peppercorns in Brine 6 x 800ml</t>
  </si>
  <si>
    <t>Lichfields Pepper Sachets 1 x 2000pk</t>
  </si>
  <si>
    <t>Lichfields Salt Sachets 1 x 2000pk</t>
  </si>
  <si>
    <t>Chef's Larder Salt 1 x 3kg</t>
  </si>
  <si>
    <t>Chef's Larder Salt 4 x 3kg</t>
  </si>
  <si>
    <t>Chef's Larder Salt 1 x 6kg</t>
  </si>
  <si>
    <t>Chef's Menu Sea Salt Crystals 1 x 1.1kg</t>
  </si>
  <si>
    <t>Chef's Menu Sea Salt Crystals 6 x 1.1kg</t>
  </si>
  <si>
    <t>DP Cooking Salt 1 x 12.5kg</t>
  </si>
  <si>
    <t>Lichfields Sea Salt 1 x 385g</t>
  </si>
  <si>
    <t>Lichfields Sea Salt 6 x 385g</t>
  </si>
  <si>
    <t>Maldon Sea Salt Flakes 1 x 1.4kg</t>
  </si>
  <si>
    <t>Maldon Smoked Sea Salt 1 x 500g</t>
  </si>
  <si>
    <t>Maldon Smoked Sea Salt 6 x 500g</t>
  </si>
  <si>
    <t>Chef's Menu Black Sesame Seeds 1 x 550g</t>
  </si>
  <si>
    <t>Chef's Menu Black Sesame Seeds 6 x 550g</t>
  </si>
  <si>
    <t>Chef's Menu Blackened Cajun Seasoning 1 x 590g</t>
  </si>
  <si>
    <t>Chef's Menu Blackened Cajun Seasoning 6 x 590g</t>
  </si>
  <si>
    <t>Chef's Menu Chilli &amp; Garlic Seasoning 1 x 240g</t>
  </si>
  <si>
    <t>Chef's Menu Chilli &amp; Garlic Seasoning 6 x 240g</t>
  </si>
  <si>
    <t>Chef's Menu Chip Seasoning 1 x 650g</t>
  </si>
  <si>
    <t>Chef's Menu Chip Seasoning 6 x 650g</t>
  </si>
  <si>
    <t>Chef's Menu Fajita Seasoning 1 x 670g</t>
  </si>
  <si>
    <t>Chef's Menu Fajita Seasoning 6 x 670g</t>
  </si>
  <si>
    <t>Chef's Menu Garam Masala 1 x 450g</t>
  </si>
  <si>
    <t>Chef's Menu Garam Masala 6 x 450g</t>
  </si>
  <si>
    <t>Chef's Menu Garlic Granules 1 x 700g</t>
  </si>
  <si>
    <t>Chef's Menu Garlic Granules 6 x 700g</t>
  </si>
  <si>
    <t>Chef's Menu Garlic Powder 1 x 500g</t>
  </si>
  <si>
    <t>Chef's Menu Garlic Powder 6 x 500g</t>
  </si>
  <si>
    <t>Chef's Menu Italian Seasoning 1 x 230g</t>
  </si>
  <si>
    <t>Chef's Menu Italian Seasoning 6 x 230g</t>
  </si>
  <si>
    <t>Chef's Menu Jerk Seasoning Rub 1 x 650g</t>
  </si>
  <si>
    <t>Chef's Menu Jerk Seasoning Rub 6 x 650g</t>
  </si>
  <si>
    <t>Chef's Menu Onion Powder 1 x 480g</t>
  </si>
  <si>
    <t>Chef's Menu Onion Powder 6 x 480g</t>
  </si>
  <si>
    <t>Chef's Menu Piri Piri Seasoning 1 x 400g</t>
  </si>
  <si>
    <t>Chef's Menu Piri Piri Seasoning 6 x 400g</t>
  </si>
  <si>
    <t>Chef's Menu Salt &amp; Chilli Seasoning 1 x 845g</t>
  </si>
  <si>
    <t>Chef's Menu Salt &amp; Chilli Seasoning 6 x 845g</t>
  </si>
  <si>
    <t>Chef's Menu Sriracha Seasoning 1 x 700g</t>
  </si>
  <si>
    <t>Chef's Menu Sriracha Seasoning 6 x 700g</t>
  </si>
  <si>
    <t>Chef's Menu Texan Style BBQ Seasoning Rub 1 x 550g</t>
  </si>
  <si>
    <t>Chef's Menu Texan Style BBQ Seasoning Rub 6 x 550g</t>
  </si>
  <si>
    <t>Chef's Menu White Sesame Seeds 1 x 530g</t>
  </si>
  <si>
    <t>Chef's Menu White Sesame Seeds 6 x 530g</t>
  </si>
  <si>
    <t>KTC Crispy Fried Onions 1 x 400g</t>
  </si>
  <si>
    <t>KTC Crispy Fried Onions 6 x 400g</t>
  </si>
  <si>
    <t>Maggi Professional Truffle Flavoured Seasoning 1 x 600g</t>
  </si>
  <si>
    <t>Maggi Professional Truffle Flavoured Seasoning 6 x 600g</t>
  </si>
  <si>
    <t>Old Bay Seasoning 1 x 280g</t>
  </si>
  <si>
    <t>Old Bay Seasoning 6 x 280g</t>
  </si>
  <si>
    <t>Chef's Larder Mixed Spice 1 x 420g</t>
  </si>
  <si>
    <t>Chef's Larder Mixed Spice 6 x 420g</t>
  </si>
  <si>
    <t>Chef's Menu Chilli Powder 1 x 410g</t>
  </si>
  <si>
    <t>Chef's Menu Chilli Powder 6 x 410g</t>
  </si>
  <si>
    <t>Chef's Menu Chinese 5 Spice 1 x 440g</t>
  </si>
  <si>
    <t>Chef's Menu Chinese 5 Spice 6 x 440g</t>
  </si>
  <si>
    <t>Chef's Menu Cinnamon Sticks 1 x 130g</t>
  </si>
  <si>
    <t>Chef's Menu Cinnamon Sticks 6 x 130g</t>
  </si>
  <si>
    <t>Chef's Menu Coriander Seeds 1 x 300g</t>
  </si>
  <si>
    <t>Chef's Menu Coriander Seeds 6 x 300g</t>
  </si>
  <si>
    <t>Chef's Menu Crushed Chillies 1 x 350g</t>
  </si>
  <si>
    <t>Chef's Menu Crushed Chillies 6 x 350g</t>
  </si>
  <si>
    <t>Chef's Menu Fennel Seeds 1 x 350g</t>
  </si>
  <si>
    <t>Chef's Menu Fennel Seeds 6 x 350g</t>
  </si>
  <si>
    <t>Chef's Menu Ground Coriander 1 x 380g</t>
  </si>
  <si>
    <t>Chef's Menu Ground Coriander 6 x 380g</t>
  </si>
  <si>
    <t>Chef's Menu Ground Cumin 1 x 430g</t>
  </si>
  <si>
    <t>Chef's Menu Ground Cumin 6 x 430g</t>
  </si>
  <si>
    <t>Chef's Menu Ground Ginger 1 x 420g</t>
  </si>
  <si>
    <t>Chef's Menu Ground Ginger 6 x 420g</t>
  </si>
  <si>
    <t>Chef's Menu Ground Nutmeg 1 x 500g</t>
  </si>
  <si>
    <t>Chef's Menu Ground Nutmeg 6 x 500g</t>
  </si>
  <si>
    <t>Chef's Menu Ground Sweet Cinnamon 1 x 430g</t>
  </si>
  <si>
    <t>Chef's Menu Ground Sweet Cinnamon 6 x 430g</t>
  </si>
  <si>
    <t>Chef's Menu Ground Turmeric 1 x 500g</t>
  </si>
  <si>
    <t>Chef's Menu Ground Turmeric 6 x 500g</t>
  </si>
  <si>
    <t>Chef's Menu Madras Curry Powder 1 x 450g</t>
  </si>
  <si>
    <t>Chef's Menu Madras Curry Powder 6 x 450g</t>
  </si>
  <si>
    <t>Chef's Menu Mixed Spice 1 x 420g</t>
  </si>
  <si>
    <t>Chef's Menu Mixed Spice 6 x 420g</t>
  </si>
  <si>
    <t>Chef's Menu Paprika 1 x 430g</t>
  </si>
  <si>
    <t>Chef's Menu Paprika 6 x 430g</t>
  </si>
  <si>
    <t>Chef's Menu Smoked Paprika 1 x 430g</t>
  </si>
  <si>
    <t>Chef's Menu Smoked Paprika 6 x 430g</t>
  </si>
  <si>
    <t>Chef's Menu Tikka Masala Curry Powder 1 x 650g</t>
  </si>
  <si>
    <t>Chef's Menu Tikka Masala Curry Powder 6 x 650g</t>
  </si>
  <si>
    <t>Chef's Menu Vanilla Pods 1 x 50g</t>
  </si>
  <si>
    <t>Chef's Menu Vanilla Pods 6 x 50g</t>
  </si>
  <si>
    <t>Chef's Menu Whole Cloves 1 x 350g</t>
  </si>
  <si>
    <t>Chef's Menu Whole Cloves 6 x 350g</t>
  </si>
  <si>
    <t>Isfi Professional Ground Nutmeg 1 x 500g</t>
  </si>
  <si>
    <t>Isfi Professional Ground Nutmeg 6 x 500g</t>
  </si>
  <si>
    <t>Kerala Crushed Chillies 1 x 1.5kg</t>
  </si>
  <si>
    <t>Kerala Crushed Chillies 6 x 1.5kg</t>
  </si>
  <si>
    <t>Kerala Paprika 1 x 2kg</t>
  </si>
  <si>
    <t>Kerala Paprika 6 x 2kg</t>
  </si>
  <si>
    <t>Noel's Chinese Stem Ginger in Syrup 1 x 1050g</t>
  </si>
  <si>
    <t>Noel's Chinese Stem Ginger in Syrup 6 x 1050g</t>
  </si>
  <si>
    <t>CUMIN SEEDS 1 x 1kg</t>
  </si>
  <si>
    <t>DESICCATED COCONUT 1 x 2kg</t>
  </si>
  <si>
    <t>CARDAMON POWDER 1 x 50g</t>
  </si>
  <si>
    <t>AJINOMOTO 1 x 454g</t>
  </si>
  <si>
    <t>SUMAC 1 x 500g</t>
  </si>
  <si>
    <t>WASHING POWDER 6.5KG</t>
  </si>
  <si>
    <t>UNIT</t>
  </si>
  <si>
    <t>WASHING POWDER 7X500G</t>
  </si>
  <si>
    <t>FABRIC SOFTNER 2X4LTR</t>
  </si>
  <si>
    <t>WASHING UP LIQUID 3X5LTR</t>
  </si>
  <si>
    <t>DISHWASHER TABLETS 100 TABLETS 1.4KG</t>
  </si>
  <si>
    <t xml:space="preserve">BRUSHE FOR DISHWASHING </t>
  </si>
  <si>
    <t>GREEN PAN SCRUBS 10PCS</t>
  </si>
  <si>
    <t>SPONGE WITH SCRUBBER 5PCS</t>
  </si>
  <si>
    <t>WIRE PAN SCRUBS 36PCS</t>
  </si>
  <si>
    <t>LATEX GLOVES FOR COOKS 100PCS</t>
  </si>
  <si>
    <t>JIF CREAM CLEANER 8X500ML</t>
  </si>
  <si>
    <t>MULTI CLEANING SPRAY 6X1L</t>
  </si>
  <si>
    <t>KITCHEN SPRAY 6X1L</t>
  </si>
  <si>
    <t>TOILET CLANER LIQUID 6X1L</t>
  </si>
  <si>
    <t>TOILET AIR FRESHNER SPRAY 6X240ML</t>
  </si>
  <si>
    <t>TOILET PAPER  ROLL 48PCS</t>
  </si>
  <si>
    <t>CTN</t>
  </si>
  <si>
    <t>SWING BIN LINERS 12X20S</t>
  </si>
  <si>
    <t>PEDAL BIN LINERS 12X30S</t>
  </si>
  <si>
    <t>PAPER TOWEL ROLL  CENTRE FEED 6PCS</t>
  </si>
  <si>
    <t>RLS</t>
  </si>
  <si>
    <t>ALUMINIUM FOIL - CATERING SIZE  ROLL 90MX450MM</t>
  </si>
  <si>
    <t>CLING FILM ROL CATERING SIZE 300MX450MM</t>
  </si>
  <si>
    <t>PLASTIC CUPS 7OZ 2000</t>
  </si>
  <si>
    <t>PAPER CUPS 10OZ 800</t>
  </si>
  <si>
    <t>WHITE PAPER  TABLE NAPKINS 2000</t>
  </si>
  <si>
    <t>TOOTHPASTE 12X75ML</t>
  </si>
  <si>
    <t>SHOWER GEL 6X225ML</t>
  </si>
  <si>
    <t>SOAP BAR DOVE 2X90G</t>
  </si>
  <si>
    <t>SHAMPOO 6X250ML</t>
  </si>
  <si>
    <t>DEODORANT SPRAY 6X150ML</t>
  </si>
  <si>
    <t>DISPOSABLE RAZOR 50S</t>
  </si>
  <si>
    <t>SHAVING FOAM 6X200ML</t>
  </si>
  <si>
    <t>PEACH 26XBOX</t>
  </si>
  <si>
    <t>5kg</t>
  </si>
  <si>
    <t>PLUM 1kg</t>
  </si>
  <si>
    <t>1.0kg</t>
  </si>
  <si>
    <t>BEEF CHAIN OFF FILLET FROZEN APROX 2KG 1KG</t>
  </si>
  <si>
    <t>BEEF STRIPLOIN FROZEN APROX 2KG 1KG</t>
  </si>
  <si>
    <t>BEEF EIB EYE APROX 3KG 1KG</t>
  </si>
  <si>
    <t>MUTTON LEG BONELESS AVG 4KG 1KG</t>
  </si>
  <si>
    <t>ATH-RIC017</t>
  </si>
  <si>
    <t>POPPING CORN 500G</t>
  </si>
  <si>
    <t>MARGIN</t>
  </si>
  <si>
    <t>REVIEW</t>
  </si>
  <si>
    <t>ATH-TUR001</t>
  </si>
  <si>
    <t>GUAVA JUICE 12X1LTR</t>
  </si>
  <si>
    <t>ATH-JCE014</t>
  </si>
  <si>
    <t>ATH-JCE015</t>
  </si>
  <si>
    <t>INSTANT JUICE POWDER / CRYSTALS TURKISH</t>
  </si>
  <si>
    <t>ATH-JCE016</t>
  </si>
  <si>
    <t>TANG INSTANT JUICE POWDER MANGO 2KG</t>
  </si>
  <si>
    <t>TANG INSTANT JUICE POWDER ORANGE 750G</t>
  </si>
  <si>
    <t>ISTANBUL WAFER 250G</t>
  </si>
  <si>
    <t>ATH-TUR002</t>
  </si>
  <si>
    <t>ATH-TUR003</t>
  </si>
  <si>
    <t>ATH-TUR004</t>
  </si>
  <si>
    <t>ATH-TUR005</t>
  </si>
  <si>
    <t>ATH-TUR006</t>
  </si>
  <si>
    <t>ATH-TUR007</t>
  </si>
  <si>
    <t>ATH-TUR008</t>
  </si>
  <si>
    <t>ATH-TUR009</t>
  </si>
  <si>
    <t>ATH-TUR010</t>
  </si>
  <si>
    <t>ATH-TUR011</t>
  </si>
  <si>
    <t>ATH-TUR012</t>
  </si>
  <si>
    <t>ATH-TUR013</t>
  </si>
  <si>
    <t>ATH-TUR014</t>
  </si>
  <si>
    <t>ATH-TUR015</t>
  </si>
  <si>
    <t>ATH-TUR016</t>
  </si>
  <si>
    <t>ATH-TUR017</t>
  </si>
  <si>
    <t>ATH-TUR018</t>
  </si>
  <si>
    <t>ATH-TUR019</t>
  </si>
  <si>
    <t>ATH-TUR020</t>
  </si>
  <si>
    <t>ATH-TUR021</t>
  </si>
  <si>
    <t>ATH-TUR022</t>
  </si>
  <si>
    <t>ATH-TUR023</t>
  </si>
  <si>
    <t>ULKER SESAME STICKS 70G</t>
  </si>
  <si>
    <t>ULKER PLAIN BISCUITS 4 X 200G</t>
  </si>
  <si>
    <t>CAKE PKTS 10 X 28G</t>
  </si>
  <si>
    <t>CREAM SHANTI 2X70G</t>
  </si>
  <si>
    <t>PUDDING CAKE MIX 120G</t>
  </si>
  <si>
    <t xml:space="preserve">CAKE MIX </t>
  </si>
  <si>
    <t>ATH-TUR024</t>
  </si>
  <si>
    <t>ATH-TUR025</t>
  </si>
  <si>
    <t>ATH-TUR026</t>
  </si>
  <si>
    <t>ATH-TUR027</t>
  </si>
  <si>
    <t>ATH-TUR028</t>
  </si>
  <si>
    <t>ATH-TUR029</t>
  </si>
  <si>
    <t>ATH-TUR030</t>
  </si>
  <si>
    <t>ATH-TUR031</t>
  </si>
  <si>
    <t>ATH-TUR032</t>
  </si>
  <si>
    <t>ATH-TUR033</t>
  </si>
  <si>
    <t>ATH-TUR034</t>
  </si>
  <si>
    <t>ATH-TUR035</t>
  </si>
  <si>
    <t>ATH-TUR036</t>
  </si>
  <si>
    <t>ATH-TUR037</t>
  </si>
  <si>
    <t>ATH-TUR038</t>
  </si>
  <si>
    <t>ATH-TUR039</t>
  </si>
  <si>
    <t>ATH-TUR040</t>
  </si>
  <si>
    <t>ATH-TUR041</t>
  </si>
  <si>
    <t>ATH-TUR042</t>
  </si>
  <si>
    <t>ATH-TUR043</t>
  </si>
  <si>
    <t>ATH-TUR044</t>
  </si>
  <si>
    <t>ATH-TUR045</t>
  </si>
  <si>
    <t>ATH-TUR046</t>
  </si>
  <si>
    <t>ATH-TUR047</t>
  </si>
  <si>
    <t>ATH-TUR048</t>
  </si>
  <si>
    <t>ATH-TUR049</t>
  </si>
  <si>
    <t>ATH-TUR050</t>
  </si>
  <si>
    <t>ATH-TUR051</t>
  </si>
  <si>
    <t>ATH-TUR052</t>
  </si>
  <si>
    <t>ATH-TUR053</t>
  </si>
  <si>
    <t>ATH-TUR054</t>
  </si>
  <si>
    <t>ATH-TUR055</t>
  </si>
  <si>
    <t>ATH-TUR056</t>
  </si>
  <si>
    <t>ATH-TUR057</t>
  </si>
  <si>
    <t>ATH-TUR058</t>
  </si>
  <si>
    <t>ATH-TUR059</t>
  </si>
  <si>
    <t>ATH-TUR060</t>
  </si>
  <si>
    <t>ATH-TUR061</t>
  </si>
  <si>
    <t>ATH-TUR062</t>
  </si>
  <si>
    <t>ATH-TUR063</t>
  </si>
  <si>
    <t>ATH-TUR064</t>
  </si>
  <si>
    <t>ATH-TUR065</t>
  </si>
  <si>
    <t>ATH-TUR066</t>
  </si>
  <si>
    <t>ATH-TUR067</t>
  </si>
  <si>
    <t>ATH-TUR068</t>
  </si>
  <si>
    <t>ATH-TUR069</t>
  </si>
  <si>
    <t>ATH-TUR070</t>
  </si>
  <si>
    <t>ATH-TUR071</t>
  </si>
  <si>
    <t>ATH-TUR072</t>
  </si>
  <si>
    <t>ATH-TUR073</t>
  </si>
  <si>
    <t>ATH-TUR074</t>
  </si>
  <si>
    <t>ATH-TUR075</t>
  </si>
  <si>
    <t>ATH-TUR076</t>
  </si>
  <si>
    <t>ATH-TUR077</t>
  </si>
  <si>
    <t>ATH-TUR078</t>
  </si>
  <si>
    <t>ATH-TUR079</t>
  </si>
  <si>
    <t>ATH-TUR080</t>
  </si>
  <si>
    <t>ATH-TUR081</t>
  </si>
  <si>
    <t>ATH-TUR082</t>
  </si>
  <si>
    <t>ATH-TUR083</t>
  </si>
  <si>
    <t>ATH-TUR084</t>
  </si>
  <si>
    <t>ATH-TUR085</t>
  </si>
  <si>
    <t>ATH-TUR086</t>
  </si>
  <si>
    <t>ATH-TUR087</t>
  </si>
  <si>
    <t>ATH-TUR088</t>
  </si>
  <si>
    <t>ATH-TUR089</t>
  </si>
  <si>
    <t>ATH-TUR090</t>
  </si>
  <si>
    <t>ATH-TUR091</t>
  </si>
  <si>
    <t>ATH-TUR092</t>
  </si>
  <si>
    <t>ATH-TUR093</t>
  </si>
  <si>
    <t>ATH-TUR094</t>
  </si>
  <si>
    <t>ATH-TUR095</t>
  </si>
  <si>
    <t>ATH-TUR096</t>
  </si>
  <si>
    <t>ATH-TUR097</t>
  </si>
  <si>
    <t>ATH-TUR098</t>
  </si>
  <si>
    <t>ATH-TUR099</t>
  </si>
  <si>
    <t>ATH-TUR100</t>
  </si>
  <si>
    <t>ATH-TUR101</t>
  </si>
  <si>
    <t>ATH-TUR102</t>
  </si>
  <si>
    <t>ATH-TUR103</t>
  </si>
  <si>
    <t>ATH-TUR104</t>
  </si>
  <si>
    <t>ATH-TUR105</t>
  </si>
  <si>
    <t>ATH-TUR106</t>
  </si>
  <si>
    <t>ATH-TUR107</t>
  </si>
  <si>
    <t>ATH-TUR108</t>
  </si>
  <si>
    <t>ATH-TUR109</t>
  </si>
  <si>
    <t>ATH-TUR110</t>
  </si>
  <si>
    <t>ATH-TUR111</t>
  </si>
  <si>
    <t>ATH-TUR112</t>
  </si>
  <si>
    <t>ATH-TUR113</t>
  </si>
  <si>
    <t>ATH-TUR114</t>
  </si>
  <si>
    <t>ATH-TUR115</t>
  </si>
  <si>
    <t>ATH-TUR116</t>
  </si>
  <si>
    <t>ATH-TUR117</t>
  </si>
  <si>
    <t>ATH-TUR118</t>
  </si>
  <si>
    <t>ATH-TUR119</t>
  </si>
  <si>
    <t>ATH-TUR120</t>
  </si>
  <si>
    <t>ATH-TUR121</t>
  </si>
  <si>
    <t>ATH-TUR122</t>
  </si>
  <si>
    <t>ATH-TUR123</t>
  </si>
  <si>
    <t>ATH-TUR124</t>
  </si>
  <si>
    <t>ATH-TUR125</t>
  </si>
  <si>
    <t>ATH-TUR126</t>
  </si>
  <si>
    <t>ATH-TUR127</t>
  </si>
  <si>
    <t>ATH-TUR128</t>
  </si>
  <si>
    <t>ATH-TUR129</t>
  </si>
  <si>
    <t>ATH-TUR130</t>
  </si>
  <si>
    <t>ATH-TUR131</t>
  </si>
  <si>
    <t>ATH-TUR132</t>
  </si>
  <si>
    <t>ATH-TUR133</t>
  </si>
  <si>
    <t>ATH-TUR134</t>
  </si>
  <si>
    <t>ATH-TUR135</t>
  </si>
  <si>
    <t>ATH-TUR136</t>
  </si>
  <si>
    <t>ATH-TUR137</t>
  </si>
  <si>
    <t>ATH-TUR138</t>
  </si>
  <si>
    <t>ATH-TUR139</t>
  </si>
  <si>
    <t>ATH-TUR140</t>
  </si>
  <si>
    <t>ATH-TUR141</t>
  </si>
  <si>
    <t>ATH-TUR142</t>
  </si>
  <si>
    <t>ATH-TUR143</t>
  </si>
  <si>
    <t>ATH-TUR144</t>
  </si>
  <si>
    <t>ATH-TUR145</t>
  </si>
  <si>
    <t>DR OETKER VANILLIN SUGAR 5X5G</t>
  </si>
  <si>
    <t>DR OETKER HAMUR KABARTMA TOZU 5X10G</t>
  </si>
  <si>
    <t>BASAK BAKING POWDER SACHETS 5X10G</t>
  </si>
  <si>
    <t>BASAK SEKERLI VANILIN SUGAR PACK 5X5G</t>
  </si>
  <si>
    <t>DR OETKER KREM ŞANTI SADE 150G</t>
  </si>
  <si>
    <t>BASAK INEGOL KOFTE HARCI 75G</t>
  </si>
  <si>
    <t>DR OETKER BUGDAY NISASTASI WHEAT STARCH 150G</t>
  </si>
  <si>
    <t>BASAK BREAD CRUMBS GALETA UNU 250G</t>
  </si>
  <si>
    <t>DR OETKER PUDDING WITH CHOCOLATE CHIPS 115G</t>
  </si>
  <si>
    <t>BASAK KARBONAT 40G</t>
  </si>
  <si>
    <t>BASAK KLASIK MISIR UNU CORN FLOUR 400G</t>
  </si>
  <si>
    <t>DR OETKER INSTANT KURU MAYA DOUGH YEAST 3X10G</t>
  </si>
  <si>
    <t>DR OETKER MISIR NISASTASI 150G</t>
  </si>
  <si>
    <t>BASAK WHEAT STARCH 200G</t>
  </si>
  <si>
    <t>DR OETKER SAKIZLI MUHALLEBI MIX 150G</t>
  </si>
  <si>
    <t>BASAK INSTANT DRY YEAST 3X10G</t>
  </si>
  <si>
    <t>DR OETKER COCOA POWDER 100G</t>
  </si>
  <si>
    <t>BODRUM BREAD CRUMBS GALETA UNU 500G</t>
  </si>
  <si>
    <t>DR OETKER PUDDING CHOCOLATE HAZELNUT 102G</t>
  </si>
  <si>
    <t>DR OETKER GELENEKSEL IRMIK HELVASI 400G</t>
  </si>
  <si>
    <t>BASAK CORN STARCH 200G</t>
  </si>
  <si>
    <t>PIYALE WHEAT FLOUR ALL PURPOSE 1KG</t>
  </si>
  <si>
    <t>BASAK MEATBALL MIX KOFTE HARCI 100G</t>
  </si>
  <si>
    <t>DR OETKER SUPANGLE PUDDING MIX 143G</t>
  </si>
  <si>
    <t>DR OETKER PUDING BITTER CIKOLATALI 111G</t>
  </si>
  <si>
    <t>DR OETKER PUDING MUZLU 125G</t>
  </si>
  <si>
    <t>BASAK MANGAL TAVUK HARCI 60G</t>
  </si>
  <si>
    <t>DR OETKER PUDING VANILYALI 125G</t>
  </si>
  <si>
    <t>BASAK MIX FOR SPICY VEGETARIAN BULGUR BALLS 500G</t>
  </si>
  <si>
    <t>DR OETKER CLASSIC CHOCOLATE SAUCE 128G</t>
  </si>
  <si>
    <t>BASAK WHIPPED TOPPING PLAIN CREAM 150G</t>
  </si>
  <si>
    <t>BASAK POWDERED SUGAR PUDRA SEKERİ 200G</t>
  </si>
  <si>
    <t>DR OETKER CAKE CREAM VANILLA 136G</t>
  </si>
  <si>
    <t>BASAK RICE PUDDING SUTLAC 155G</t>
  </si>
  <si>
    <t>KNORR CRISPY BREADED MIX CITIR PANE 90G</t>
  </si>
  <si>
    <t>DR OETKER PUDING CILEKLI 125G</t>
  </si>
  <si>
    <t>DR OETKER PROFITEROL DESSERT MIX 360G</t>
  </si>
  <si>
    <t>BASAK KAKAOLU PUDDING 105G</t>
  </si>
  <si>
    <t>BASAK KAZANDIBI 150G</t>
  </si>
  <si>
    <t>DR OETKER ASURE NOAH'S PUDDING 222G</t>
  </si>
  <si>
    <t>DR OETKER GELENEKSEL SUTLAC 156G</t>
  </si>
  <si>
    <t>BASAK CHOCOLATE CHIPS PUDDING MIX 105G</t>
  </si>
  <si>
    <t>DR OETKER KAZANDIBI DESSERT MIX 165G</t>
  </si>
  <si>
    <t>DR OETKER EKSI MAYA SOUR YEAST 32G</t>
  </si>
  <si>
    <t>DR OETKER PASTA KREMASI KAKAOLU 156G</t>
  </si>
  <si>
    <t>BASAK PIRINC UNU RICE FLOUR 250G</t>
  </si>
  <si>
    <t>DR OETKER TAVUKGOGSU MILK PUDDING MIX 125G</t>
  </si>
  <si>
    <t>BASAK CHICKEN SPICES TAVUK HARCI 80G</t>
  </si>
  <si>
    <t>DR OETKER REVANI DESSERT MIX 500G</t>
  </si>
  <si>
    <t>BASAK CITIR PANE HARCI 100G</t>
  </si>
  <si>
    <t>BASAK SAKIZLI MUHALLEBI 150G</t>
  </si>
  <si>
    <t>BASAK SUPANGLE CHOCOLAT 155G</t>
  </si>
  <si>
    <t>BASAK KESKUL ALMOND PUDDING MIX 140G</t>
  </si>
  <si>
    <t>BASAK APRICOT PUDDING MIX 100G</t>
  </si>
  <si>
    <t>BASAK SODIUM BICARBONATE 40G</t>
  </si>
  <si>
    <t>DR OETKER KESKUL ALMOND PUDDING 139G</t>
  </si>
  <si>
    <t>BASAK PREMIUM KAKAO COCOA POWDER 100G</t>
  </si>
  <si>
    <t>BASAK VANILLA PUDDING MIX 130G</t>
  </si>
  <si>
    <t>DR OETKER RASPBERRY STRAWBERRY SAUCE 80G</t>
  </si>
  <si>
    <t>DR OETKER BITTER CHOCOLATE SAUCE 125G</t>
  </si>
  <si>
    <t>BASAK BANANA PUDDING MIX 130G</t>
  </si>
  <si>
    <t>BASAK REVANI SEMOLINA CAKE 500G</t>
  </si>
  <si>
    <t>BASAK PASTRY CREAM VANILIN AROMALI 140G</t>
  </si>
  <si>
    <t>BASAK COCONUT PUDDING MIX 130G</t>
  </si>
  <si>
    <t>BASAK STRAWBERRY PUDDING MIX 130G</t>
  </si>
  <si>
    <t>BASAK HAZELNUT CACAO PUDDING MIX 110G</t>
  </si>
  <si>
    <t>BASAK ORANGE FLAVOURED GELATIN MIX 100G</t>
  </si>
  <si>
    <t>BASAK SOUR CHERRY GELATIN MIX 100G</t>
  </si>
  <si>
    <t>BASAK FISH COATING BALIK HARCI 100G</t>
  </si>
  <si>
    <t>BASAK CHOCOLATE ALMOND PUDDING MIX 105G</t>
  </si>
  <si>
    <t>BASAK STRAWBERRY GELATIN MIX 100G</t>
  </si>
  <si>
    <t>BASAK TIRAMISU 355G</t>
  </si>
  <si>
    <t>BASAK WHIPPED TOPPING CACAO 150G</t>
  </si>
  <si>
    <t>BASAK PASTRY CREAM BANANA 140G</t>
  </si>
  <si>
    <t>BASAK BECHAMEL MIX 80G</t>
  </si>
  <si>
    <t>BASAK WHIPPED TOPPING STRAWBERRY 150G</t>
  </si>
  <si>
    <t>BASAK BITTER CHOCOLATE PUDDING MIX 105G</t>
  </si>
  <si>
    <t>BASAK RASPBERRY STRAWBERRY FRUIT SAUCE 80G</t>
  </si>
  <si>
    <t>BASAK PROFITEROL DESSERT MIX 360G</t>
  </si>
  <si>
    <t>DR OETKER PUDING CIKOLATALI BADEM 104G</t>
  </si>
  <si>
    <t>BASAK PASTRY CREAM COCOA 160G</t>
  </si>
  <si>
    <t>MILK POWDER 2.5KG</t>
  </si>
  <si>
    <t>CORN STARCH 750G</t>
  </si>
  <si>
    <t>SALAMI BEEF 450G</t>
  </si>
  <si>
    <t>SALAMI CHICKEN 450G</t>
  </si>
  <si>
    <t>SALAMI TURKEY 450G</t>
  </si>
  <si>
    <t>CHICKEN SLICES 130G</t>
  </si>
  <si>
    <t>TURKEY BREAST SLICES 130G</t>
  </si>
  <si>
    <t>LIPTON YELLOW LABEL 100 BAGS</t>
  </si>
  <si>
    <t>TURKEY RASHERS 130G</t>
  </si>
  <si>
    <t>SLICED CHICKEN MORTADELLA 200G</t>
  </si>
  <si>
    <t>PUCK CHEESE SPREAD 910G</t>
  </si>
  <si>
    <t>CHICKEN SAUSAGE 500G</t>
  </si>
  <si>
    <t>FRANKFURTHER CHICKEN SAUSAGE 300G</t>
  </si>
  <si>
    <t>SLICED PASTIRMA 80G</t>
  </si>
  <si>
    <t>LABNEH 1KG</t>
  </si>
  <si>
    <t>BARBICAN FLAVOURED WHEAT DRINKS 6 X 330ML BTLS</t>
  </si>
  <si>
    <t>SLICED BEEF MORTADELLA 200G</t>
  </si>
  <si>
    <t>HALVA PLAIN 300G</t>
  </si>
  <si>
    <t>VIMTO SYRUP 710G BTL</t>
  </si>
  <si>
    <t>Duru Dry White Beans Dermason Kuru Fasulye Pack 2.5kg</t>
  </si>
  <si>
    <t>POPPING CORN 1KG</t>
  </si>
  <si>
    <t>ROESCOCO BEANS 1KG</t>
  </si>
  <si>
    <t>BLACKEYED BEANS 1KG</t>
  </si>
  <si>
    <t>COUSCOUS 1KG</t>
  </si>
  <si>
    <t>ATH-IND001</t>
  </si>
  <si>
    <t>ATH-IND002</t>
  </si>
  <si>
    <t>ATH-IND003</t>
  </si>
  <si>
    <t>ATH-IND004</t>
  </si>
  <si>
    <t>ATH-IND005</t>
  </si>
  <si>
    <t>ATH-IND006</t>
  </si>
  <si>
    <t>ATH-IND007</t>
  </si>
  <si>
    <t>ATH-IND008</t>
  </si>
  <si>
    <t>ATH-IND009</t>
  </si>
  <si>
    <t>ATH-IND010</t>
  </si>
  <si>
    <t>ATH-IND011</t>
  </si>
  <si>
    <t>ATH-IND012</t>
  </si>
  <si>
    <t>ATH-IND013</t>
  </si>
  <si>
    <t>ATH-IND014</t>
  </si>
  <si>
    <t>ATH-IND015</t>
  </si>
  <si>
    <t>ATH-IND016</t>
  </si>
  <si>
    <t>ATH-IND017</t>
  </si>
  <si>
    <t>ATH-IND018</t>
  </si>
  <si>
    <t>ATH-IND019</t>
  </si>
  <si>
    <t>ATH-IND020</t>
  </si>
  <si>
    <t>ATH-IND021</t>
  </si>
  <si>
    <t>ATH-IND022</t>
  </si>
  <si>
    <t>ATH-IND023</t>
  </si>
  <si>
    <t>ATH-IND024</t>
  </si>
  <si>
    <t>ATH-IND025</t>
  </si>
  <si>
    <t>ATH-IND026</t>
  </si>
  <si>
    <t>ATH-IND027</t>
  </si>
  <si>
    <t>ATH-IND028</t>
  </si>
  <si>
    <t>ATH-IND029</t>
  </si>
  <si>
    <t>ATH-IND030</t>
  </si>
  <si>
    <t>ATH-IND031</t>
  </si>
  <si>
    <t>ATH-IND032</t>
  </si>
  <si>
    <t>ATH-IND033</t>
  </si>
  <si>
    <t>ATH-IND034</t>
  </si>
  <si>
    <t>ATH-IND035</t>
  </si>
  <si>
    <t>ATH-IND036</t>
  </si>
  <si>
    <t>ATH-IND037</t>
  </si>
  <si>
    <t>ATH-IND038</t>
  </si>
  <si>
    <t>ATH-IND039</t>
  </si>
  <si>
    <t>ATH-IND040</t>
  </si>
  <si>
    <t>ATH-IND041</t>
  </si>
  <si>
    <t>ATH-IND042</t>
  </si>
  <si>
    <t>ATH-IND043</t>
  </si>
  <si>
    <t>ATH-IND044</t>
  </si>
  <si>
    <t>ATH-IND045</t>
  </si>
  <si>
    <t>ATH-IND046</t>
  </si>
  <si>
    <t>ATH-IND047</t>
  </si>
  <si>
    <t>ATH-IND048</t>
  </si>
  <si>
    <t>ATH-IND049</t>
  </si>
  <si>
    <t>ATH-IND050</t>
  </si>
  <si>
    <t>ATH-IND051</t>
  </si>
  <si>
    <t>ATH-IND052</t>
  </si>
  <si>
    <t>ATH-IND053</t>
  </si>
  <si>
    <t>ATH-IND054</t>
  </si>
  <si>
    <t>ATH-IND055</t>
  </si>
  <si>
    <t>ATH-IND056</t>
  </si>
  <si>
    <t>ATH-IND057</t>
  </si>
  <si>
    <t>ATH-IND058</t>
  </si>
  <si>
    <t>ATH-IND059</t>
  </si>
  <si>
    <t>ATH-IND060</t>
  </si>
  <si>
    <t>ATH-IND061</t>
  </si>
  <si>
    <t>ATH-IND062</t>
  </si>
  <si>
    <t>ATH-IND063</t>
  </si>
  <si>
    <t>ATH-IND064</t>
  </si>
  <si>
    <t>ATH-IND065</t>
  </si>
  <si>
    <t>ATH-IND066</t>
  </si>
  <si>
    <t>ATH-IND067</t>
  </si>
  <si>
    <t>ATH-IND068</t>
  </si>
  <si>
    <t>ATH-IND069</t>
  </si>
  <si>
    <t>ATH-IND070</t>
  </si>
  <si>
    <t>ATH-IND071</t>
  </si>
  <si>
    <t>ATH-IND072</t>
  </si>
  <si>
    <t>ATH-IND073</t>
  </si>
  <si>
    <t>ATH-IND074</t>
  </si>
  <si>
    <t>ATH-IND075</t>
  </si>
  <si>
    <t>ATH-IND076</t>
  </si>
  <si>
    <t>ATH-IND077</t>
  </si>
  <si>
    <t>ATH-IND078</t>
  </si>
  <si>
    <t>ATH-IND079</t>
  </si>
  <si>
    <t>ATH-IND080</t>
  </si>
  <si>
    <t>ATH-IND081</t>
  </si>
  <si>
    <t>ATH-IND082</t>
  </si>
  <si>
    <t>ATH-IND083</t>
  </si>
  <si>
    <t>ATH-IND084</t>
  </si>
  <si>
    <t>ATH-IND085</t>
  </si>
  <si>
    <t>ATH-IND086</t>
  </si>
  <si>
    <t>PLAIN PARATHA 15 PCS 1.2KG</t>
  </si>
  <si>
    <t>ALOO PARATHA 350G</t>
  </si>
  <si>
    <t>MIXED VEGETABLES PARATHA 350G</t>
  </si>
  <si>
    <t>CHILLI PARATHA 350G</t>
  </si>
  <si>
    <t>READY GALUB JAMUN 350G 6-7PCS</t>
  </si>
  <si>
    <t>SHREDDED KUNAFA DOUGH 400G</t>
  </si>
  <si>
    <t>NEW YORK SESAME BAGELS 5X85G</t>
  </si>
  <si>
    <t>TAHINI 600G</t>
  </si>
  <si>
    <t>QUINOA 1KG</t>
  </si>
  <si>
    <t>URAD DALL WASHED 1KG</t>
  </si>
  <si>
    <t>HEERA TOOR DALL PLAIN 1KG</t>
  </si>
  <si>
    <t>KALA CHANA 1KG</t>
  </si>
  <si>
    <t>CHANA DAL 1KG</t>
  </si>
  <si>
    <t>MOONG DAL WASHED 1KG</t>
  </si>
  <si>
    <t>URAD CHILKA 500G</t>
  </si>
  <si>
    <t>HORLICKS ORIGINAL 2KG</t>
  </si>
  <si>
    <t>HORLICKS ORIGINAL 6X270G</t>
  </si>
  <si>
    <t>PURE BUTTER GHEE 2KG</t>
  </si>
  <si>
    <t>CORNETTO CLASSIC ICE CREAM CONES 36 PCS</t>
  </si>
  <si>
    <t>SNICKER BAR ICE CREAM 4 PCS</t>
  </si>
  <si>
    <t>MAGNUM CLASSIC ICE CREAM STICKS 30X100ML</t>
  </si>
  <si>
    <t>PIZZA SAUCE 2.5 KG</t>
  </si>
  <si>
    <t>PAPPADOMS MADRAS 200G</t>
  </si>
  <si>
    <t>PLAIN POPPADOMS 200G</t>
  </si>
  <si>
    <t>JACKS GARLIC BREAD 10S</t>
  </si>
  <si>
    <t>JACKS GARLIC BREAD 120S</t>
  </si>
  <si>
    <t>KTC GRAM FLOUR 2KG</t>
  </si>
  <si>
    <t>CHAT MASALA 100G</t>
  </si>
  <si>
    <t>SAMBJAR MASALA 100G</t>
  </si>
  <si>
    <t>CHANA MASALA 500G</t>
  </si>
  <si>
    <t>FISH MASALA 80G</t>
  </si>
  <si>
    <t>MUTTON BIRYANI MASALA 60G</t>
  </si>
  <si>
    <t>TADNDORRI MASALA 60G</t>
  </si>
  <si>
    <t>KITCHEN KING MASALA 100G</t>
  </si>
  <si>
    <t>COCONUT OIL 500ML</t>
  </si>
  <si>
    <t>CHOCOLATE SYRUP 680G</t>
  </si>
  <si>
    <t>DOSA MIX 500G</t>
  </si>
  <si>
    <t>ROASTED RAVA / SEMOLINA SOOJI 2KG</t>
  </si>
  <si>
    <t>JACKS DOUBLE CHOCOLATE MUFFINS 12s</t>
  </si>
  <si>
    <t>OREO 16s</t>
  </si>
  <si>
    <t>NAKED TOFU XL 450G</t>
  </si>
  <si>
    <t>COCOA POWDER 1KG</t>
  </si>
  <si>
    <t>ATH-DRK021</t>
  </si>
  <si>
    <t>ATH-DRK022</t>
  </si>
  <si>
    <t>LIPTON ICE TEA LEMON 12X500ML</t>
  </si>
  <si>
    <t>LIPTON ICE TEA PEACH 12X500ML</t>
  </si>
  <si>
    <t>ATH-DRK023</t>
  </si>
  <si>
    <t>LIPTON ICE TEA RASBERRY 12X500ML</t>
  </si>
  <si>
    <t>ATH-TOM007</t>
  </si>
  <si>
    <t>PEPPER PASTE (TURKISH) 4.3KG</t>
  </si>
  <si>
    <t>CARROTS 5KG</t>
  </si>
  <si>
    <t>TOMATOES BEEF 24s</t>
  </si>
  <si>
    <t>APPLES RED 2KG</t>
  </si>
  <si>
    <t>APPLES GREEN GRANNY SMITH 2KG</t>
  </si>
  <si>
    <t xml:space="preserve">BANANA 5s </t>
  </si>
  <si>
    <t>PEARS GREEN 1.5KG</t>
  </si>
  <si>
    <t>PINEAPPLE 1s</t>
  </si>
  <si>
    <t>0.8 kg</t>
  </si>
  <si>
    <t>WATER MELON 1s</t>
  </si>
  <si>
    <t>GRAPES GREEN 500G</t>
  </si>
  <si>
    <t>GRAPES RED 500G</t>
  </si>
  <si>
    <t>0.5 kg</t>
  </si>
  <si>
    <t>HONEYDEW MELON 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</si>
</sst>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%"/>
    <numFmt numFmtId="165" formatCode="0.0"/>
    <numFmt numFmtId="166" formatCode="&quot;£&quot;#,##0.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Open Sans"/>
      <family val="2"/>
    </font>
    <font>
      <sz val="10"/>
      <color rgb="FF003459"/>
      <name val="Open Sans"/>
      <family val="2"/>
    </font>
    <font>
      <sz val="8"/>
      <name val="Calibri"/>
      <family val="2"/>
      <scheme val="minor"/>
    </font>
    <font>
      <b/>
      <sz val="11"/>
      <color rgb="FFFFFFFF"/>
      <name val="Open Sans"/>
      <family val="2"/>
    </font>
    <font>
      <sz val="10"/>
      <color rgb="FF003459"/>
      <name val="Open Sans"/>
      <family val="2"/>
    </font>
    <font>
      <sz val="11"/>
      <color rgb="FF003459"/>
      <name val="Open Sans"/>
      <family val="2"/>
    </font>
    <font>
      <sz val="11"/>
      <color rgb="FFFFFFFF"/>
      <name val="Open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003459"/>
      </patternFill>
    </fill>
    <fill>
      <patternFill patternType="solid">
        <fgColor rgb="FFFFFFFF"/>
      </patternFill>
    </fill>
    <fill>
      <patternFill patternType="solid">
        <fgColor rgb="FFF7FBFF"/>
      </patternFill>
    </fill>
    <fill>
      <patternFill patternType="solid">
        <fgColor rgb="FF003459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D7E2EA"/>
      </left>
      <right style="thin">
        <color rgb="FFD7E2EA"/>
      </right>
      <top style="thin">
        <color rgb="FFD7E2EA"/>
      </top>
      <bottom style="thin">
        <color rgb="FFD7E2EA"/>
      </bottom>
      <diagonal/>
    </border>
    <border>
      <left style="thin">
        <color rgb="FFD7E2EA"/>
      </left>
      <right style="thin">
        <color rgb="FFD7E2EA"/>
      </right>
      <top/>
      <bottom style="thin">
        <color rgb="FFD7E2EA"/>
      </bottom>
      <diagonal/>
    </border>
    <border>
      <left/>
      <right style="thin">
        <color rgb="FFD7E2EA"/>
      </right>
      <top style="thin">
        <color rgb="FFD7E2EA"/>
      </top>
      <bottom style="thin">
        <color rgb="FFD7E2EA"/>
      </bottom>
      <diagonal/>
    </border>
    <border>
      <left style="thin">
        <color rgb="FFD7E2EA"/>
      </left>
      <right/>
      <top style="thin">
        <color rgb="FFD7E2EA"/>
      </top>
      <bottom style="thin">
        <color rgb="FFD7E2EA"/>
      </bottom>
      <diagonal/>
    </border>
    <border>
      <left/>
      <right style="thin">
        <color rgb="FFD7E2EA"/>
      </right>
      <top/>
      <bottom style="thin">
        <color rgb="FFD7E2EA"/>
      </bottom>
      <diagonal/>
    </border>
    <border>
      <left style="thin">
        <color rgb="FFD7E2EA"/>
      </left>
      <right/>
      <top/>
      <bottom style="thin">
        <color rgb="FFD7E2EA"/>
      </bottom>
      <diagonal/>
    </border>
    <border>
      <left/>
      <right style="thin">
        <color rgb="FFD7E2EA"/>
      </right>
      <top style="thin">
        <color rgb="FFD7E2EA"/>
      </top>
      <bottom/>
      <diagonal/>
    </border>
    <border>
      <left style="thin">
        <color rgb="FFD7E2EA"/>
      </left>
      <right style="thin">
        <color rgb="FFD7E2EA"/>
      </right>
      <top style="thin">
        <color rgb="FFD7E2EA"/>
      </top>
      <bottom/>
      <diagonal/>
    </border>
    <border>
      <left style="thin">
        <color rgb="FFD7E2EA"/>
      </left>
      <right/>
      <top/>
      <bottom/>
      <diagonal/>
    </border>
    <border>
      <left style="thin">
        <color rgb="FFD7E2EA"/>
      </left>
      <right style="thin">
        <color rgb="FFD7E2EA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/>
    </xf>
    <xf numFmtId="2" fontId="7" fillId="4" borderId="4" xfId="0" applyNumberFormat="1" applyFont="1" applyFill="1" applyBorder="1" applyAlignment="1">
      <alignment horizontal="right" vertical="center"/>
    </xf>
    <xf numFmtId="164" fontId="7" fillId="3" borderId="4" xfId="0" applyNumberFormat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center" vertical="center" wrapText="1"/>
    </xf>
    <xf numFmtId="164" fontId="7" fillId="4" borderId="4" xfId="0" applyNumberFormat="1" applyFont="1" applyFill="1" applyBorder="1" applyAlignment="1">
      <alignment horizontal="right" vertical="center"/>
    </xf>
    <xf numFmtId="0" fontId="6" fillId="3" borderId="10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165" fontId="6" fillId="3" borderId="2" xfId="0" applyNumberFormat="1" applyFont="1" applyFill="1" applyBorder="1" applyAlignment="1">
      <alignment horizontal="left" vertical="center" wrapText="1"/>
    </xf>
    <xf numFmtId="165" fontId="6" fillId="4" borderId="1" xfId="0" applyNumberFormat="1" applyFont="1" applyFill="1" applyBorder="1" applyAlignment="1">
      <alignment horizontal="left" vertical="center" wrapText="1"/>
    </xf>
    <xf numFmtId="165" fontId="6" fillId="3" borderId="10" xfId="0" applyNumberFormat="1" applyFont="1" applyFill="1" applyBorder="1" applyAlignment="1">
      <alignment horizontal="left" vertical="center" wrapText="1"/>
    </xf>
    <xf numFmtId="0" fontId="3" fillId="6" borderId="6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2" fillId="5" borderId="10" xfId="0" applyFont="1" applyFill="1" applyBorder="1" applyAlignment="1">
      <alignment horizontal="center" vertical="center" wrapText="1"/>
    </xf>
    <xf numFmtId="164" fontId="6" fillId="3" borderId="6" xfId="0" applyNumberFormat="1" applyFont="1" applyFill="1" applyBorder="1" applyAlignment="1">
      <alignment horizontal="left" vertical="center" wrapText="1"/>
    </xf>
    <xf numFmtId="164" fontId="6" fillId="4" borderId="4" xfId="0" applyNumberFormat="1" applyFont="1" applyFill="1" applyBorder="1" applyAlignment="1">
      <alignment horizontal="left" vertical="center" wrapText="1"/>
    </xf>
    <xf numFmtId="164" fontId="6" fillId="3" borderId="9" xfId="0" applyNumberFormat="1" applyFont="1" applyFill="1" applyBorder="1" applyAlignment="1">
      <alignment horizontal="left" vertical="center" wrapText="1"/>
    </xf>
    <xf numFmtId="164" fontId="7" fillId="4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left" vertical="center" wrapText="1"/>
    </xf>
    <xf numFmtId="164" fontId="7" fillId="3" borderId="8" xfId="0" applyNumberFormat="1" applyFont="1" applyFill="1" applyBorder="1" applyAlignment="1">
      <alignment horizontal="left" vertical="center" wrapText="1"/>
    </xf>
    <xf numFmtId="166" fontId="7" fillId="3" borderId="1" xfId="0" applyNumberFormat="1" applyFont="1" applyFill="1" applyBorder="1" applyAlignment="1">
      <alignment horizontal="right" vertical="center"/>
    </xf>
    <xf numFmtId="166" fontId="7" fillId="4" borderId="1" xfId="0" applyNumberFormat="1" applyFont="1" applyFill="1" applyBorder="1" applyAlignment="1">
      <alignment horizontal="right" vertical="center"/>
    </xf>
    <xf numFmtId="166" fontId="2" fillId="2" borderId="1" xfId="0" applyNumberFormat="1" applyFont="1" applyFill="1" applyBorder="1" applyAlignment="1">
      <alignment horizontal="center" vertical="center" wrapText="1"/>
    </xf>
    <xf numFmtId="166" fontId="7" fillId="3" borderId="8" xfId="0" applyNumberFormat="1" applyFont="1" applyFill="1" applyBorder="1" applyAlignment="1">
      <alignment horizontal="right" vertical="center"/>
    </xf>
    <xf numFmtId="166" fontId="2" fillId="2" borderId="2" xfId="0" applyNumberFormat="1" applyFont="1" applyFill="1" applyBorder="1" applyAlignment="1">
      <alignment horizontal="center" vertical="center" wrapText="1"/>
    </xf>
    <xf numFmtId="166" fontId="7" fillId="4" borderId="1" xfId="0" applyNumberFormat="1" applyFont="1" applyFill="1" applyBorder="1" applyAlignment="1">
      <alignment horizontal="left" vertical="center" wrapText="1"/>
    </xf>
    <xf numFmtId="166" fontId="7" fillId="3" borderId="8" xfId="0" applyNumberFormat="1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66" fontId="8" fillId="2" borderId="2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/>
    </xf>
    <xf numFmtId="2" fontId="7" fillId="6" borderId="1" xfId="0" applyNumberFormat="1" applyFont="1" applyFill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right" vertical="center"/>
    </xf>
    <xf numFmtId="0" fontId="7" fillId="4" borderId="4" xfId="0" applyFont="1" applyFill="1" applyBorder="1" applyAlignment="1">
      <alignment horizontal="right" vertical="center"/>
    </xf>
    <xf numFmtId="0" fontId="7" fillId="3" borderId="4" xfId="0" applyFont="1" applyFill="1" applyBorder="1" applyAlignment="1">
      <alignment horizontal="right" vertical="center"/>
    </xf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3459"/>
        <name val="Open Sans"/>
        <family val="2"/>
        <scheme val="none"/>
      </font>
      <numFmt numFmtId="166" formatCode="&quot;£&quot;#,##0.0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7E2EA"/>
        </left>
        <right style="thin">
          <color rgb="FFD7E2EA"/>
        </right>
        <top style="thin">
          <color rgb="FFD7E2EA"/>
        </top>
        <bottom style="thin">
          <color rgb="FFD7E2E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3459"/>
        <name val="Open San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3459"/>
        <name val="Open Sans"/>
        <family val="2"/>
        <scheme val="none"/>
      </font>
      <numFmt numFmtId="164" formatCode="0.0%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7E2EA"/>
        </left>
        <right/>
        <top/>
        <bottom style="thin">
          <color rgb="FFD7E2E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3459"/>
        <name val="Open Sans"/>
        <family val="2"/>
        <scheme val="none"/>
      </font>
      <numFmt numFmtId="165" formatCode="0.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D7E2EA"/>
        </left>
        <right style="thin">
          <color rgb="FFD7E2EA"/>
        </right>
        <top/>
        <bottom style="thin">
          <color rgb="FFD7E2E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3459"/>
        <name val="Open Sans"/>
        <family val="2"/>
        <scheme val="none"/>
      </font>
      <numFmt numFmtId="165" formatCode="0.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D7E2EA"/>
        </left>
        <right style="thin">
          <color rgb="FFD7E2EA"/>
        </right>
        <top/>
        <bottom style="thin">
          <color rgb="FFD7E2E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3459"/>
        <name val="Open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7E2EA"/>
        </left>
        <right style="thin">
          <color rgb="FFD7E2EA"/>
        </right>
        <top/>
        <bottom style="thin">
          <color rgb="FFD7E2E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3459"/>
        <name val="Open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7E2EA"/>
        </left>
        <right style="thin">
          <color rgb="FFD7E2EA"/>
        </right>
        <top/>
        <bottom style="thin">
          <color rgb="FFD7E2E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3459"/>
        <name val="Open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7E2EA"/>
        </left>
        <right style="thin">
          <color rgb="FFD7E2EA"/>
        </right>
        <top/>
        <bottom style="thin">
          <color rgb="FFD7E2E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3459"/>
        <name val="Open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7E2EA"/>
        </left>
        <right style="thin">
          <color rgb="FFD7E2EA"/>
        </right>
        <top/>
        <bottom style="thin">
          <color rgb="FFD7E2E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3459"/>
        <name val="Open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7E2EA"/>
        </left>
        <right style="thin">
          <color rgb="FFD7E2EA"/>
        </right>
        <top/>
        <bottom style="thin">
          <color rgb="FFD7E2E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3459"/>
        <name val="Open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7E2EA"/>
        </left>
        <right style="thin">
          <color rgb="FFD7E2EA"/>
        </right>
        <top/>
        <bottom style="thin">
          <color rgb="FFD7E2EA"/>
        </bottom>
        <vertical/>
        <horizontal/>
      </border>
    </dxf>
    <dxf>
      <border outline="0">
        <right style="thin">
          <color rgb="FFD7E2EA"/>
        </right>
        <bottom style="thin">
          <color rgb="FFD7E2E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3459"/>
        <name val="Open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Open Sans"/>
        <family val="2"/>
        <scheme val="none"/>
      </font>
      <fill>
        <patternFill patternType="solid">
          <fgColor indexed="64"/>
          <bgColor rgb="FF00345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7E2EA"/>
        </left>
        <right style="thin">
          <color rgb="FFD7E2EA"/>
        </right>
        <top/>
        <bottom/>
      </border>
    </dxf>
    <dxf>
      <numFmt numFmtId="2" formatCode="0.00"/>
    </dxf>
    <dxf>
      <numFmt numFmtId="164" formatCode="0.0%"/>
      <border outline="0">
        <left style="thin">
          <color rgb="FFD7E2EA"/>
        </left>
      </border>
    </dxf>
    <dxf>
      <numFmt numFmtId="166" formatCode="&quot;£&quot;#,##0.00"/>
    </dxf>
    <dxf>
      <numFmt numFmtId="166" formatCode="&quot;£&quot;#,##0.00"/>
      <border>
        <right style="thin">
          <color rgb="FFD7E2EA"/>
        </right>
      </border>
    </dxf>
    <dxf>
      <border outline="0">
        <top style="thin">
          <color rgb="FFD7E2EA"/>
        </top>
      </border>
    </dxf>
    <dxf>
      <border outline="0">
        <left style="thin">
          <color rgb="FFD7E2EA"/>
        </left>
        <right style="thin">
          <color rgb="FFD7E2EA"/>
        </right>
        <top style="thin">
          <color rgb="FFD7E2EA"/>
        </top>
        <bottom style="thin">
          <color rgb="FFD7E2EA"/>
        </bottom>
      </border>
    </dxf>
    <dxf>
      <border outline="0">
        <bottom style="thin">
          <color rgb="FFD7E2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Open Sans"/>
        <family val="2"/>
        <scheme val="none"/>
      </font>
      <fill>
        <patternFill patternType="solid">
          <fgColor indexed="64"/>
          <bgColor rgb="FF003459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3459"/>
        <name val="Open San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7E2EA"/>
        </left>
        <right/>
        <top style="thin">
          <color rgb="FFD7E2EA"/>
        </top>
        <bottom style="thin">
          <color rgb="FFD7E2E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3459"/>
        <name val="Open Sans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7E2EA"/>
        </left>
        <right style="thin">
          <color rgb="FFD7E2EA"/>
        </right>
        <top style="thin">
          <color rgb="FFD7E2EA"/>
        </top>
        <bottom style="thin">
          <color rgb="FFD7E2E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3459"/>
        <name val="Open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7E2EA"/>
        </left>
        <right style="thin">
          <color rgb="FFD7E2EA"/>
        </right>
        <top style="thin">
          <color rgb="FFD7E2EA"/>
        </top>
        <bottom style="thin">
          <color rgb="FFD7E2E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3459"/>
        <name val="Open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7E2EA"/>
        </left>
        <right style="thin">
          <color rgb="FFD7E2EA"/>
        </right>
        <top style="thin">
          <color rgb="FFD7E2EA"/>
        </top>
        <bottom style="thin">
          <color rgb="FFD7E2E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3459"/>
        <name val="Open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7E2EA"/>
        </left>
        <right style="thin">
          <color rgb="FFD7E2EA"/>
        </right>
        <top style="thin">
          <color rgb="FFD7E2EA"/>
        </top>
        <bottom style="thin">
          <color rgb="FFD7E2E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3459"/>
        <name val="Open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7E2EA"/>
        </left>
        <right style="thin">
          <color rgb="FFD7E2EA"/>
        </right>
        <top style="thin">
          <color rgb="FFD7E2EA"/>
        </top>
        <bottom style="thin">
          <color rgb="FFD7E2E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3459"/>
        <name val="Open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7E2EA"/>
        </left>
        <right style="thin">
          <color rgb="FFD7E2EA"/>
        </right>
        <top style="thin">
          <color rgb="FFD7E2EA"/>
        </top>
        <bottom style="thin">
          <color rgb="FFD7E2E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3459"/>
        <name val="Open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D7E2EA"/>
        </right>
        <top style="thin">
          <color rgb="FFD7E2EA"/>
        </top>
        <bottom style="thin">
          <color rgb="FFD7E2EA"/>
        </bottom>
        <vertical/>
        <horizontal/>
      </border>
    </dxf>
    <dxf>
      <border outline="0">
        <top style="thin">
          <color rgb="FFD7E2EA"/>
        </top>
      </border>
    </dxf>
    <dxf>
      <border outline="0">
        <left style="thin">
          <color rgb="FFD7E2EA"/>
        </left>
        <right style="thin">
          <color rgb="FFD7E2EA"/>
        </right>
        <top style="thin">
          <color rgb="FFD7E2EA"/>
        </top>
        <bottom style="thin">
          <color rgb="FFD7E2EA"/>
        </bottom>
      </border>
    </dxf>
    <dxf>
      <border outline="0">
        <bottom style="thin">
          <color rgb="FFD7E2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Open Sans"/>
        <family val="2"/>
        <scheme val="none"/>
      </font>
      <fill>
        <patternFill patternType="solid">
          <fgColor indexed="64"/>
          <bgColor rgb="FF00345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7E2EA"/>
        </left>
        <right style="thin">
          <color rgb="FFD7E2EA"/>
        </right>
        <top/>
        <bottom/>
      </border>
    </dxf>
  </dxfs>
  <tableStyles count="1" defaultTableStyle="TableStyleMedium2" defaultPivotStyle="PivotStyleLight16">
    <tableStyle name="PivotTable Style 1" table="0" count="0" xr9:uid="{DE8FE8AD-6E1A-4632-9512-7015CAC8B2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51687-24B8-4DC7-AD2C-884CFB85A30E}" name="Table1" displayName="Table1" ref="A1:J904" totalsRowShown="0" headerRowDxfId="34" headerRowBorderDxfId="33" tableBorderDxfId="32" totalsRowBorderDxfId="31">
  <autoFilter ref="A1:J904" xr:uid="{B0F51687-24B8-4DC7-AD2C-884CFB85A30E}"/>
  <tableColumns count="10">
    <tableColumn id="1" xr3:uid="{581E2256-DB69-41A6-B462-6237382F5F4F}" name="ITEM CODE" dataDxfId="30"/>
    <tableColumn id="2" xr3:uid="{AF7C1946-A7C7-46A1-AE4D-AAC97B6DD7A6}" name="PRODUCT NAME" dataDxfId="29"/>
    <tableColumn id="3" xr3:uid="{8DB00B83-17A0-4456-9131-E99E82EBFDD0}" name="SUUPLIER UNIT" dataDxfId="28"/>
    <tableColumn id="4" xr3:uid="{4A3C49CD-4834-4D70-8D68-DEF81B522F6F}" name="SUPPLIER" dataDxfId="27"/>
    <tableColumn id="5" xr3:uid="{744F3FEB-B2BB-46CD-91BB-9903C93C04A0}" name="ORDER QUANTITY" dataDxfId="26"/>
    <tableColumn id="6" xr3:uid="{BE208337-FC74-4295-B603-877D02E7270C}" name="REMARKS" dataDxfId="25"/>
    <tableColumn id="7" xr3:uid="{B327B6AC-4DA5-4EE3-9FEC-E29879EA401C}" name="COST PRICE" dataDxfId="24"/>
    <tableColumn id="8" xr3:uid="{D1AE8B80-9F11-4600-87C5-242E31E05413}" name="SALE PRICE" dataDxfId="0">
      <calculatedColumnFormula array="1">ROUND(G2*IF(OR(MID(A2,5,3)={"BFF","PRK","FPL","LMB","FFI","MET","RIC","FLR","SUG","OIL","DRK","JCE","FEG"}),1.21,IF(OR(MID(A2,5,3)={"FVG","FFR"}),1.33,IF(OR(MID(A2,5,3)={"FBT","FCH","FMK","FYG","MLK","ICE","FRV","FPO","FRF","FCC","BRD"}),1.28,IF(OR(MID(A2,5,3)={"BIS","CRP","HRB","TUR","IND","HYG"}),1.38,1.31)))),2)</calculatedColumnFormula>
    </tableColumn>
    <tableColumn id="9" xr3:uid="{D65348A8-D3C5-406A-80F9-93D15AFF4CE1}" name="MARGIN" dataDxfId="23">
      <calculatedColumnFormula>(Table1[[#This Row],[SALE PRICE]]-Table1[[#This Row],[COST PRICE]])/Table1[[#This Row],[SALE PRICE]]</calculatedColumnFormula>
    </tableColumn>
    <tableColumn id="10" xr3:uid="{5C08FCA1-1C90-40D5-8300-048EB18A879B}" name="REVIEW" dataDxfId="22">
      <calculatedColumnFormula>IF(Table1[[#This Row],[MARGIN]]&lt;25%, "REVIEW", "OK")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FDF47A-E342-422A-B88B-3A1A2E026791}" name="Table4" displayName="Table4" ref="A906:J1138" totalsRowShown="0" headerRowDxfId="21" headerRowBorderDxfId="20" tableBorderDxfId="19" totalsRowBorderDxfId="18">
  <autoFilter ref="A906:J1138" xr:uid="{1FFDF47A-E342-422A-B88B-3A1A2E026791}"/>
  <tableColumns count="10">
    <tableColumn id="1" xr3:uid="{EC083E47-92C1-4608-BB77-63FF75756A56}" name="ITEM CODE"/>
    <tableColumn id="2" xr3:uid="{13843DA6-41EF-476E-8CB2-539D266CFF51}" name="PRODUCT NAME"/>
    <tableColumn id="3" xr3:uid="{4B115AE7-EF1E-4588-B8DF-115213F4076A}" name="SUUPLIER UNIT"/>
    <tableColumn id="4" xr3:uid="{7C6AE945-693E-421A-9F18-AAE794477761}" name="SUPPLIER"/>
    <tableColumn id="5" xr3:uid="{F720DDC8-0CA5-481C-8C77-9DBD45E005F8}" name="ORDER QUANTITY"/>
    <tableColumn id="6" xr3:uid="{5E5A2EF2-4DF8-4E60-A339-BB4539A8EBA4}" name="REMARKS"/>
    <tableColumn id="7" xr3:uid="{3E943F4C-FB6A-4F18-B0C1-95576F16AB51}" name="COST PRICE" dataDxfId="17"/>
    <tableColumn id="8" xr3:uid="{0F77740A-2E8B-4224-BD0B-CC6FA87DAAA1}" name="SALE PRICE" dataDxfId="16">
      <calculatedColumnFormula>IF(G907&lt;=5,G907*1.6,
IF(G907&lt;=10,G907*1.55,
IF(G907&lt;=25,G907*1.5,
IF(G907&lt;=50,G907*1.4,
IF(G907&lt;=100,G907*1.4,
G907*1.4)))))</calculatedColumnFormula>
    </tableColumn>
    <tableColumn id="9" xr3:uid="{78601A2A-BBB6-43B8-9807-DEAA960510F0}" name="MARGIN" dataDxfId="15">
      <calculatedColumnFormula>(Table4[[#This Row],[SALE PRICE]]-Table4[[#This Row],[COST PRICE]])/Table4[[#This Row],[SALE PRICE]]</calculatedColumnFormula>
    </tableColumn>
    <tableColumn id="10" xr3:uid="{6B8956C3-29C4-495D-B64A-FAA306125BBF}" name="REVIEW" dataDxfId="14">
      <calculatedColumnFormula>IF(Table4[[#This Row],[MARGIN]]&lt;25%, "REVIEW", "OK")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F7D65F-4EB0-4B92-B2C8-7E263D1FE628}" name="Table2" displayName="Table2" ref="A1:J48" totalsRowShown="0" headerRowDxfId="13" dataDxfId="12" tableBorderDxfId="11">
  <autoFilter ref="A1:J48" xr:uid="{3AF7D65F-4EB0-4B92-B2C8-7E263D1FE628}"/>
  <tableColumns count="10">
    <tableColumn id="1" xr3:uid="{14E88C55-5845-4EB3-8BDC-9AAAF5A6F0C3}" name="ITEM CODE" dataDxfId="10"/>
    <tableColumn id="2" xr3:uid="{57D09E13-81AF-47BC-9D05-99F71786FE5B}" name="PRODUCT NAME" dataDxfId="9"/>
    <tableColumn id="3" xr3:uid="{F0BEC22F-0FE1-462E-8FBA-2B08E5092A0F}" name="UNIT" dataDxfId="8"/>
    <tableColumn id="4" xr3:uid="{7CE7802E-9851-4936-B09A-A24190FDD694}" name="SUPPLIER" dataDxfId="7"/>
    <tableColumn id="5" xr3:uid="{E3150DA9-C6F5-487B-A753-0D104DEFFA86}" name="ORDER QUANTITY" dataDxfId="6"/>
    <tableColumn id="6" xr3:uid="{D0A961F0-6484-49DF-9B99-78A910D93D24}" name="REMARKS" dataDxfId="5"/>
    <tableColumn id="7" xr3:uid="{67DDF1CA-3EB9-4DC7-B307-F5C1D764BEE4}" name="COST PRICE" dataDxfId="4"/>
    <tableColumn id="8" xr3:uid="{0612F545-E962-4829-9D79-CB23C4A0C0D3}" name="SALE PRICE" dataDxfId="3">
      <calculatedColumnFormula>IF(G2&lt;=5,G2*1.6,
IF(G2&lt;=10,G2*1.55,
IF(G2&lt;=25,G2*1.45,
IF(G2&lt;=50,G2*1.4,
IF(G2&lt;=100,G2*1.35,
G2*1.333)))))</calculatedColumnFormula>
    </tableColumn>
    <tableColumn id="9" xr3:uid="{0E33FDEE-1CF7-447B-A1FC-CC7BEF79D4F1}" name="MARGIN" dataDxfId="2">
      <calculatedColumnFormula>(Table2[[#This Row],[SALE PRICE]]-Table2[[#This Row],[COST PRICE]])/Table2[[#This Row],[SALE PRICE]]</calculatedColumnFormula>
    </tableColumn>
    <tableColumn id="10" xr3:uid="{30BB9253-B37A-4764-A8D9-F4E102099A98}" name="REVIEW" dataDxfId="1">
      <calculatedColumnFormula>IF(Table2[[#This Row],[MARGIN]]&gt;25, "REVIEW", "OK")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8"/>
  <sheetViews>
    <sheetView tabSelected="1" topLeftCell="B1" zoomScaleNormal="52" workbookViewId="0">
      <pane ySplit="1" topLeftCell="A2" activePane="bottomLeft" state="frozen"/>
      <selection pane="bottomLeft" activeCell="H48" sqref="H48"/>
    </sheetView>
  </sheetViews>
  <sheetFormatPr defaultRowHeight="14.4" x14ac:dyDescent="0.3"/>
  <cols>
    <col min="1" max="1" width="16.109375" bestFit="1" customWidth="1"/>
    <col min="2" max="2" width="47.77734375" customWidth="1"/>
    <col min="3" max="3" width="20.77734375" bestFit="1" customWidth="1"/>
    <col min="4" max="4" width="14.77734375" bestFit="1" customWidth="1"/>
    <col min="5" max="5" width="23.21875" bestFit="1" customWidth="1"/>
    <col min="6" max="6" width="14.88671875" bestFit="1" customWidth="1"/>
    <col min="7" max="7" width="16.5546875" bestFit="1" customWidth="1"/>
    <col min="8" max="8" width="16.21875" bestFit="1" customWidth="1"/>
    <col min="9" max="9" width="13.77734375" bestFit="1" customWidth="1"/>
    <col min="10" max="10" width="14.21875" bestFit="1" customWidth="1"/>
  </cols>
  <sheetData>
    <row r="1" spans="1:10" s="1" customFormat="1" ht="15.6" x14ac:dyDescent="0.3">
      <c r="A1" s="20" t="s">
        <v>0</v>
      </c>
      <c r="B1" s="21" t="s">
        <v>1</v>
      </c>
      <c r="C1" s="21" t="s">
        <v>1425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2" t="s">
        <v>1892</v>
      </c>
      <c r="J1" s="28" t="s">
        <v>1893</v>
      </c>
    </row>
    <row r="2" spans="1:10" s="1" customFormat="1" ht="15.6" x14ac:dyDescent="0.3">
      <c r="A2" s="16" t="s">
        <v>7</v>
      </c>
      <c r="B2" s="2" t="s">
        <v>8</v>
      </c>
      <c r="C2" s="2"/>
      <c r="D2" s="2" t="s">
        <v>8</v>
      </c>
      <c r="E2" s="2" t="s">
        <v>8</v>
      </c>
      <c r="F2" s="2" t="s">
        <v>8</v>
      </c>
      <c r="G2" s="2" t="s">
        <v>8</v>
      </c>
      <c r="H2" s="9" t="e" cm="1">
        <f t="array" ref="H2">ROUND(G2*IF(OR(MID(A2,5,3)={"BFF","PRK","FPL","LMB","FFI","MET","RIC","FLR","SUG","OIL","DRK","JCE","FEG"}),1.21,IF(OR(MID(A2,5,3)={"FVG","FFR"}),1.33,IF(OR(MID(A2,5,3)={"FBT","FCH","FMK","FYG","MLK","ICE","FRV","FPO","FRF","FCC","BRD"}),1.28,IF(OR(MID(A2,5,3)={"BIS","CRP","HRB","TUR","IND","HYG"}),1.38,1.31)))),2)</f>
        <v>#VALUE!</v>
      </c>
      <c r="I2" s="19"/>
      <c r="J2" s="19"/>
    </row>
    <row r="3" spans="1:10" ht="15.6" x14ac:dyDescent="0.3">
      <c r="A3" s="17" t="s">
        <v>9</v>
      </c>
      <c r="B3" s="12" t="s">
        <v>10</v>
      </c>
      <c r="C3" s="12" t="s">
        <v>1426</v>
      </c>
      <c r="D3" s="10" t="s">
        <v>8</v>
      </c>
      <c r="E3" s="10" t="s">
        <v>8</v>
      </c>
      <c r="F3" s="12" t="s">
        <v>8</v>
      </c>
      <c r="G3" s="46">
        <v>8.51</v>
      </c>
      <c r="H3" s="46" cm="1">
        <f t="array" ref="H3">ROUND(G3*IF(OR(MID(A3,5,3)={"BFF","PRK","FPL","LMB","FFI","MET","RIC","FLR","SUG","OIL","DRK","JCE","FEG"}),1.21,IF(OR(MID(A3,5,3)={"FVG","FFR"}),1.33,IF(OR(MID(A3,5,3)={"FBT","FCH","FMK","FYG","MLK","ICE","FRV","FPO","FRF","FCC","BRD"}),1.28,IF(OR(MID(A3,5,3)={"BIS","CRP","HRB","TUR","IND","HYG"}),1.38,1.31)))),2)</f>
        <v>10.3</v>
      </c>
      <c r="I3" s="27">
        <f>(Table1[[#This Row],[SALE PRICE]]-Table1[[#This Row],[COST PRICE]])/Table1[[#This Row],[SALE PRICE]]</f>
        <v>0.17378640776699036</v>
      </c>
      <c r="J3" s="27" t="str">
        <f>IF(Table1[[#This Row],[MARGIN]]&lt;25%, "REVIEW", "OK")</f>
        <v>REVIEW</v>
      </c>
    </row>
    <row r="4" spans="1:10" ht="15.6" x14ac:dyDescent="0.3">
      <c r="A4" s="17" t="s">
        <v>11</v>
      </c>
      <c r="B4" s="13" t="s">
        <v>12</v>
      </c>
      <c r="C4" s="13" t="s">
        <v>1426</v>
      </c>
      <c r="D4" s="11" t="s">
        <v>8</v>
      </c>
      <c r="E4" s="11" t="s">
        <v>8</v>
      </c>
      <c r="F4" s="13" t="s">
        <v>8</v>
      </c>
      <c r="G4" s="47">
        <v>7.5</v>
      </c>
      <c r="H4" s="47" cm="1">
        <f t="array" ref="H4">ROUND(G4*IF(OR(MID(A4,5,3)={"BFF","PRK","FPL","LMB","FFI","MET","RIC","FLR","SUG","OIL","DRK","JCE","FEG"}),1.21,IF(OR(MID(A4,5,3)={"FVG","FFR"}),1.33,IF(OR(MID(A4,5,3)={"FBT","FCH","FMK","FYG","MLK","ICE","FRV","FPO","FRF","FCC","BRD"}),1.28,IF(OR(MID(A4,5,3)={"BIS","CRP","HRB","TUR","IND","HYG"}),1.38,1.31)))),2)</f>
        <v>9.08</v>
      </c>
      <c r="I4" s="29">
        <f>(Table1[[#This Row],[SALE PRICE]]-Table1[[#This Row],[COST PRICE]])/Table1[[#This Row],[SALE PRICE]]</f>
        <v>0.17400881057268724</v>
      </c>
      <c r="J4" s="26" t="str">
        <f>IF(Table1[[#This Row],[MARGIN]]&lt;25%, "REVIEW", "OK")</f>
        <v>REVIEW</v>
      </c>
    </row>
    <row r="5" spans="1:10" ht="15.6" x14ac:dyDescent="0.3">
      <c r="A5" s="17" t="s">
        <v>13</v>
      </c>
      <c r="B5" s="12" t="s">
        <v>14</v>
      </c>
      <c r="C5" s="12" t="s">
        <v>1426</v>
      </c>
      <c r="D5" s="10" t="s">
        <v>8</v>
      </c>
      <c r="E5" s="10" t="s">
        <v>8</v>
      </c>
      <c r="F5" s="12" t="s">
        <v>8</v>
      </c>
      <c r="G5" s="46">
        <v>4.1399999999999997</v>
      </c>
      <c r="H5" s="46" cm="1">
        <f t="array" ref="H5">ROUND(G5*IF(OR(MID(A5,5,3)={"BFF","PRK","FPL","LMB","FFI","MET","RIC","FLR","SUG","OIL","DRK","JCE","FEG"}),1.21,IF(OR(MID(A5,5,3)={"FVG","FFR"}),1.33,IF(OR(MID(A5,5,3)={"FBT","FCH","FMK","FYG","MLK","ICE","FRV","FPO","FRF","FCC","BRD"}),1.28,IF(OR(MID(A5,5,3)={"BIS","CRP","HRB","TUR","IND","HYG"}),1.38,1.31)))),2)</f>
        <v>5.01</v>
      </c>
      <c r="I5" s="27">
        <f>(Table1[[#This Row],[SALE PRICE]]-Table1[[#This Row],[COST PRICE]])/Table1[[#This Row],[SALE PRICE]]</f>
        <v>0.17365269461077848</v>
      </c>
      <c r="J5" s="27" t="str">
        <f>IF(Table1[[#This Row],[MARGIN]]&lt;25%, "REVIEW", "OK")</f>
        <v>REVIEW</v>
      </c>
    </row>
    <row r="6" spans="1:10" ht="15.6" x14ac:dyDescent="0.3">
      <c r="A6" s="17" t="s">
        <v>15</v>
      </c>
      <c r="B6" s="13" t="s">
        <v>16</v>
      </c>
      <c r="C6" s="13" t="s">
        <v>1426</v>
      </c>
      <c r="D6" s="11" t="s">
        <v>8</v>
      </c>
      <c r="E6" s="11" t="s">
        <v>8</v>
      </c>
      <c r="F6" s="13" t="s">
        <v>8</v>
      </c>
      <c r="G6" s="47">
        <v>4.3099999999999996</v>
      </c>
      <c r="H6" s="47" cm="1">
        <f t="array" ref="H6">ROUND(G6*IF(OR(MID(A6,5,3)={"BFF","PRK","FPL","LMB","FFI","MET","RIC","FLR","SUG","OIL","DRK","JCE","FEG"}),1.21,IF(OR(MID(A6,5,3)={"FVG","FFR"}),1.33,IF(OR(MID(A6,5,3)={"FBT","FCH","FMK","FYG","MLK","ICE","FRV","FPO","FRF","FCC","BRD"}),1.28,IF(OR(MID(A6,5,3)={"BIS","CRP","HRB","TUR","IND","HYG"}),1.38,1.31)))),2)</f>
        <v>5.22</v>
      </c>
      <c r="I6" s="29">
        <f>(Table1[[#This Row],[SALE PRICE]]-Table1[[#This Row],[COST PRICE]])/Table1[[#This Row],[SALE PRICE]]</f>
        <v>0.17432950191570884</v>
      </c>
      <c r="J6" s="26" t="str">
        <f>IF(Table1[[#This Row],[MARGIN]]&lt;25%, "REVIEW", "OK")</f>
        <v>REVIEW</v>
      </c>
    </row>
    <row r="7" spans="1:10" ht="15.6" x14ac:dyDescent="0.3">
      <c r="A7" s="17" t="s">
        <v>17</v>
      </c>
      <c r="B7" s="12" t="s">
        <v>1035</v>
      </c>
      <c r="C7" s="12" t="s">
        <v>1426</v>
      </c>
      <c r="D7" s="10"/>
      <c r="E7" s="10"/>
      <c r="F7" s="12"/>
      <c r="G7" s="46">
        <v>25.07</v>
      </c>
      <c r="H7" s="46" cm="1">
        <f t="array" ref="H7">ROUND(G7*IF(OR(MID(A7,5,3)={"BFF","PRK","FPL","LMB","FFI","MET","RIC","FLR","SUG","OIL","DRK","JCE","FEG"}),1.21,IF(OR(MID(A7,5,3)={"FVG","FFR"}),1.33,IF(OR(MID(A7,5,3)={"FBT","FCH","FMK","FYG","MLK","ICE","FRV","FPO","FRF","FCC","BRD"}),1.28,IF(OR(MID(A7,5,3)={"BIS","CRP","HRB","TUR","IND","HYG"}),1.38,1.31)))),2)</f>
        <v>30.33</v>
      </c>
      <c r="I7" s="27">
        <f>(Table1[[#This Row],[SALE PRICE]]-Table1[[#This Row],[COST PRICE]])/Table1[[#This Row],[SALE PRICE]]</f>
        <v>0.17342565117045824</v>
      </c>
      <c r="J7" s="27" t="str">
        <f>IF(Table1[[#This Row],[MARGIN]]&lt;25%, "REVIEW", "OK")</f>
        <v>REVIEW</v>
      </c>
    </row>
    <row r="8" spans="1:10" ht="15.6" x14ac:dyDescent="0.3">
      <c r="A8" s="17" t="s">
        <v>19</v>
      </c>
      <c r="B8" s="13" t="s">
        <v>1036</v>
      </c>
      <c r="C8" s="13" t="s">
        <v>1426</v>
      </c>
      <c r="D8" s="11"/>
      <c r="E8" s="11"/>
      <c r="F8" s="13"/>
      <c r="G8" s="47">
        <v>22.26</v>
      </c>
      <c r="H8" s="47" cm="1">
        <f t="array" ref="H8">ROUND(G8*IF(OR(MID(A8,5,3)={"BFF","PRK","FPL","LMB","FFI","MET","RIC","FLR","SUG","OIL","DRK","JCE","FEG"}),1.21,IF(OR(MID(A8,5,3)={"FVG","FFR"}),1.33,IF(OR(MID(A8,5,3)={"FBT","FCH","FMK","FYG","MLK","ICE","FRV","FPO","FRF","FCC","BRD"}),1.28,IF(OR(MID(A8,5,3)={"BIS","CRP","HRB","TUR","IND","HYG"}),1.38,1.31)))),2)</f>
        <v>26.93</v>
      </c>
      <c r="I8" s="29">
        <f>(Table1[[#This Row],[SALE PRICE]]-Table1[[#This Row],[COST PRICE]])/Table1[[#This Row],[SALE PRICE]]</f>
        <v>0.17341255105829922</v>
      </c>
      <c r="J8" s="26" t="str">
        <f>IF(Table1[[#This Row],[MARGIN]]&lt;25%, "REVIEW", "OK")</f>
        <v>REVIEW</v>
      </c>
    </row>
    <row r="9" spans="1:10" ht="15.6" x14ac:dyDescent="0.3">
      <c r="A9" s="17" t="s">
        <v>21</v>
      </c>
      <c r="B9" s="12" t="s">
        <v>18</v>
      </c>
      <c r="C9" s="12" t="s">
        <v>1426</v>
      </c>
      <c r="D9" s="10" t="s">
        <v>8</v>
      </c>
      <c r="E9" s="10" t="s">
        <v>8</v>
      </c>
      <c r="F9" s="12" t="s">
        <v>8</v>
      </c>
      <c r="G9" s="46">
        <v>12.6</v>
      </c>
      <c r="H9" s="46" cm="1">
        <f t="array" ref="H9">ROUND(G9*IF(OR(MID(A9,5,3)={"BFF","PRK","FPL","LMB","FFI","MET","RIC","FLR","SUG","OIL","DRK","JCE","FEG"}),1.21,IF(OR(MID(A9,5,3)={"FVG","FFR"}),1.33,IF(OR(MID(A9,5,3)={"FBT","FCH","FMK","FYG","MLK","ICE","FRV","FPO","FRF","FCC","BRD"}),1.28,IF(OR(MID(A9,5,3)={"BIS","CRP","HRB","TUR","IND","HYG"}),1.38,1.31)))),2)</f>
        <v>15.25</v>
      </c>
      <c r="I9" s="27">
        <f>(Table1[[#This Row],[SALE PRICE]]-Table1[[#This Row],[COST PRICE]])/Table1[[#This Row],[SALE PRICE]]</f>
        <v>0.17377049180327872</v>
      </c>
      <c r="J9" s="27" t="str">
        <f>IF(Table1[[#This Row],[MARGIN]]&lt;25%, "REVIEW", "OK")</f>
        <v>REVIEW</v>
      </c>
    </row>
    <row r="10" spans="1:10" ht="15.6" x14ac:dyDescent="0.3">
      <c r="A10" s="17" t="s">
        <v>23</v>
      </c>
      <c r="B10" s="13" t="s">
        <v>20</v>
      </c>
      <c r="C10" s="13" t="s">
        <v>1426</v>
      </c>
      <c r="D10" s="11" t="s">
        <v>8</v>
      </c>
      <c r="E10" s="11" t="s">
        <v>8</v>
      </c>
      <c r="F10" s="13" t="s">
        <v>8</v>
      </c>
      <c r="G10" s="47">
        <v>10.199999999999999</v>
      </c>
      <c r="H10" s="47" cm="1">
        <f t="array" ref="H10">ROUND(G10*IF(OR(MID(A10,5,3)={"BFF","PRK","FPL","LMB","FFI","MET","RIC","FLR","SUG","OIL","DRK","JCE","FEG"}),1.21,IF(OR(MID(A10,5,3)={"FVG","FFR"}),1.33,IF(OR(MID(A10,5,3)={"FBT","FCH","FMK","FYG","MLK","ICE","FRV","FPO","FRF","FCC","BRD"}),1.28,IF(OR(MID(A10,5,3)={"BIS","CRP","HRB","TUR","IND","HYG"}),1.38,1.31)))),2)</f>
        <v>12.34</v>
      </c>
      <c r="I10" s="29">
        <f>(Table1[[#This Row],[SALE PRICE]]-Table1[[#This Row],[COST PRICE]])/Table1[[#This Row],[SALE PRICE]]</f>
        <v>0.17341977309562404</v>
      </c>
      <c r="J10" s="26" t="str">
        <f>IF(Table1[[#This Row],[MARGIN]]&lt;25%, "REVIEW", "OK")</f>
        <v>REVIEW</v>
      </c>
    </row>
    <row r="11" spans="1:10" ht="15.6" x14ac:dyDescent="0.3">
      <c r="A11" s="17" t="s">
        <v>25</v>
      </c>
      <c r="B11" s="12" t="s">
        <v>1034</v>
      </c>
      <c r="C11" s="12" t="s">
        <v>1426</v>
      </c>
      <c r="D11" s="10"/>
      <c r="E11" s="10"/>
      <c r="F11" s="12"/>
      <c r="G11" s="46">
        <v>15.29</v>
      </c>
      <c r="H11" s="46" cm="1">
        <f t="array" ref="H11">ROUND(G11*IF(OR(MID(A11,5,3)={"BFF","PRK","FPL","LMB","FFI","MET","RIC","FLR","SUG","OIL","DRK","JCE","FEG"}),1.21,IF(OR(MID(A11,5,3)={"FVG","FFR"}),1.33,IF(OR(MID(A11,5,3)={"FBT","FCH","FMK","FYG","MLK","ICE","FRV","FPO","FRF","FCC","BRD"}),1.28,IF(OR(MID(A11,5,3)={"BIS","CRP","HRB","TUR","IND","HYG"}),1.38,1.31)))),2)</f>
        <v>18.5</v>
      </c>
      <c r="I11" s="27">
        <f>(Table1[[#This Row],[SALE PRICE]]-Table1[[#This Row],[COST PRICE]])/Table1[[#This Row],[SALE PRICE]]</f>
        <v>0.17351351351351357</v>
      </c>
      <c r="J11" s="27" t="str">
        <f>IF(Table1[[#This Row],[MARGIN]]&lt;25%, "REVIEW", "OK")</f>
        <v>REVIEW</v>
      </c>
    </row>
    <row r="12" spans="1:10" ht="15.6" x14ac:dyDescent="0.3">
      <c r="A12" s="17" t="s">
        <v>28</v>
      </c>
      <c r="B12" s="13" t="s">
        <v>22</v>
      </c>
      <c r="C12" s="13" t="s">
        <v>1426</v>
      </c>
      <c r="D12" s="11" t="s">
        <v>8</v>
      </c>
      <c r="E12" s="11" t="s">
        <v>8</v>
      </c>
      <c r="F12" s="13" t="s">
        <v>8</v>
      </c>
      <c r="G12" s="47">
        <v>10.199999999999999</v>
      </c>
      <c r="H12" s="47" cm="1">
        <f t="array" ref="H12">ROUND(G12*IF(OR(MID(A12,5,3)={"BFF","PRK","FPL","LMB","FFI","MET","RIC","FLR","SUG","OIL","DRK","JCE","FEG"}),1.21,IF(OR(MID(A12,5,3)={"FVG","FFR"}),1.33,IF(OR(MID(A12,5,3)={"FBT","FCH","FMK","FYG","MLK","ICE","FRV","FPO","FRF","FCC","BRD"}),1.28,IF(OR(MID(A12,5,3)={"BIS","CRP","HRB","TUR","IND","HYG"}),1.38,1.31)))),2)</f>
        <v>12.34</v>
      </c>
      <c r="I12" s="29">
        <f>(Table1[[#This Row],[SALE PRICE]]-Table1[[#This Row],[COST PRICE]])/Table1[[#This Row],[SALE PRICE]]</f>
        <v>0.17341977309562404</v>
      </c>
      <c r="J12" s="26" t="str">
        <f>IF(Table1[[#This Row],[MARGIN]]&lt;25%, "REVIEW", "OK")</f>
        <v>REVIEW</v>
      </c>
    </row>
    <row r="13" spans="1:10" ht="15.6" x14ac:dyDescent="0.3">
      <c r="A13" s="17" t="s">
        <v>30</v>
      </c>
      <c r="B13" s="12" t="s">
        <v>24</v>
      </c>
      <c r="C13" s="12" t="s">
        <v>1426</v>
      </c>
      <c r="D13" s="10" t="s">
        <v>8</v>
      </c>
      <c r="E13" s="10" t="s">
        <v>8</v>
      </c>
      <c r="F13" s="12" t="s">
        <v>8</v>
      </c>
      <c r="G13" s="46">
        <v>10.8</v>
      </c>
      <c r="H13" s="46" cm="1">
        <f t="array" ref="H13">ROUND(G13*IF(OR(MID(A13,5,3)={"BFF","PRK","FPL","LMB","FFI","MET","RIC","FLR","SUG","OIL","DRK","JCE","FEG"}),1.21,IF(OR(MID(A13,5,3)={"FVG","FFR"}),1.33,IF(OR(MID(A13,5,3)={"FBT","FCH","FMK","FYG","MLK","ICE","FRV","FPO","FRF","FCC","BRD"}),1.28,IF(OR(MID(A13,5,3)={"BIS","CRP","HRB","TUR","IND","HYG"}),1.38,1.31)))),2)</f>
        <v>13.07</v>
      </c>
      <c r="I13" s="27">
        <f>(Table1[[#This Row],[SALE PRICE]]-Table1[[#This Row],[COST PRICE]])/Table1[[#This Row],[SALE PRICE]]</f>
        <v>0.17368018362662582</v>
      </c>
      <c r="J13" s="27" t="str">
        <f>IF(Table1[[#This Row],[MARGIN]]&lt;25%, "REVIEW", "OK")</f>
        <v>REVIEW</v>
      </c>
    </row>
    <row r="14" spans="1:10" ht="15.6" x14ac:dyDescent="0.3">
      <c r="A14" s="17" t="s">
        <v>32</v>
      </c>
      <c r="B14" s="13" t="s">
        <v>1037</v>
      </c>
      <c r="C14" s="13" t="s">
        <v>1426</v>
      </c>
      <c r="D14" s="11"/>
      <c r="E14" s="11"/>
      <c r="F14" s="13"/>
      <c r="G14" s="47">
        <v>8.99</v>
      </c>
      <c r="H14" s="47" cm="1">
        <f t="array" ref="H14">ROUND(G14*IF(OR(MID(A14,5,3)={"BFF","PRK","FPL","LMB","FFI","MET","RIC","FLR","SUG","OIL","DRK","JCE","FEG"}),1.21,IF(OR(MID(A14,5,3)={"FVG","FFR"}),1.33,IF(OR(MID(A14,5,3)={"FBT","FCH","FMK","FYG","MLK","ICE","FRV","FPO","FRF","FCC","BRD"}),1.28,IF(OR(MID(A14,5,3)={"BIS","CRP","HRB","TUR","IND","HYG"}),1.38,1.31)))),2)</f>
        <v>10.88</v>
      </c>
      <c r="I14" s="29">
        <f>(Table1[[#This Row],[SALE PRICE]]-Table1[[#This Row],[COST PRICE]])/Table1[[#This Row],[SALE PRICE]]</f>
        <v>0.1737132352941177</v>
      </c>
      <c r="J14" s="26" t="str">
        <f>IF(Table1[[#This Row],[MARGIN]]&lt;25%, "REVIEW", "OK")</f>
        <v>REVIEW</v>
      </c>
    </row>
    <row r="15" spans="1:10" ht="15.6" x14ac:dyDescent="0.3">
      <c r="A15" s="17" t="s">
        <v>34</v>
      </c>
      <c r="B15" s="12" t="s">
        <v>26</v>
      </c>
      <c r="C15" s="12" t="s">
        <v>1426</v>
      </c>
      <c r="D15" s="10" t="s">
        <v>8</v>
      </c>
      <c r="E15" s="10" t="s">
        <v>8</v>
      </c>
      <c r="F15" s="12" t="s">
        <v>8</v>
      </c>
      <c r="G15" s="46">
        <v>10.8</v>
      </c>
      <c r="H15" s="46" cm="1">
        <f t="array" ref="H15">ROUND(G15*IF(OR(MID(A15,5,3)={"BFF","PRK","FPL","LMB","FFI","MET","RIC","FLR","SUG","OIL","DRK","JCE","FEG"}),1.21,IF(OR(MID(A15,5,3)={"FVG","FFR"}),1.33,IF(OR(MID(A15,5,3)={"FBT","FCH","FMK","FYG","MLK","ICE","FRV","FPO","FRF","FCC","BRD"}),1.28,IF(OR(MID(A15,5,3)={"BIS","CRP","HRB","TUR","IND","HYG"}),1.38,1.31)))),2)</f>
        <v>13.07</v>
      </c>
      <c r="I15" s="27">
        <f>(Table1[[#This Row],[SALE PRICE]]-Table1[[#This Row],[COST PRICE]])/Table1[[#This Row],[SALE PRICE]]</f>
        <v>0.17368018362662582</v>
      </c>
      <c r="J15" s="27" t="str">
        <f>IF(Table1[[#This Row],[MARGIN]]&lt;25%, "REVIEW", "OK")</f>
        <v>REVIEW</v>
      </c>
    </row>
    <row r="16" spans="1:10" ht="15.6" x14ac:dyDescent="0.3">
      <c r="A16" s="17" t="s">
        <v>36</v>
      </c>
      <c r="B16" s="13" t="s">
        <v>1038</v>
      </c>
      <c r="C16" s="13" t="s">
        <v>1426</v>
      </c>
      <c r="D16" s="11"/>
      <c r="E16" s="11"/>
      <c r="F16" s="13"/>
      <c r="G16" s="47">
        <v>13.5</v>
      </c>
      <c r="H16" s="47" cm="1">
        <f t="array" ref="H16">ROUND(G16*IF(OR(MID(A16,5,3)={"BFF","PRK","FPL","LMB","FFI","MET","RIC","FLR","SUG","OIL","DRK","JCE","FEG"}),1.21,IF(OR(MID(A16,5,3)={"FVG","FFR"}),1.33,IF(OR(MID(A16,5,3)={"FBT","FCH","FMK","FYG","MLK","ICE","FRV","FPO","FRF","FCC","BRD"}),1.28,IF(OR(MID(A16,5,3)={"BIS","CRP","HRB","TUR","IND","HYG"}),1.38,1.31)))),2)</f>
        <v>16.34</v>
      </c>
      <c r="I16" s="29">
        <f>(Table1[[#This Row],[SALE PRICE]]-Table1[[#This Row],[COST PRICE]])/Table1[[#This Row],[SALE PRICE]]</f>
        <v>0.17380660954712362</v>
      </c>
      <c r="J16" s="26" t="str">
        <f>IF(Table1[[#This Row],[MARGIN]]&lt;25%, "REVIEW", "OK")</f>
        <v>REVIEW</v>
      </c>
    </row>
    <row r="17" spans="1:10" ht="15.6" x14ac:dyDescent="0.3">
      <c r="A17" s="17" t="s">
        <v>1029</v>
      </c>
      <c r="B17" s="12" t="s">
        <v>27</v>
      </c>
      <c r="C17" s="12" t="s">
        <v>1426</v>
      </c>
      <c r="D17" s="10" t="s">
        <v>8</v>
      </c>
      <c r="E17" s="10" t="s">
        <v>8</v>
      </c>
      <c r="F17" s="12" t="s">
        <v>8</v>
      </c>
      <c r="G17" s="46">
        <v>12.66</v>
      </c>
      <c r="H17" s="46" cm="1">
        <f t="array" ref="H17">ROUND(G17*IF(OR(MID(A17,5,3)={"BFF","PRK","FPL","LMB","FFI","MET","RIC","FLR","SUG","OIL","DRK","JCE","FEG"}),1.21,IF(OR(MID(A17,5,3)={"FVG","FFR"}),1.33,IF(OR(MID(A17,5,3)={"FBT","FCH","FMK","FYG","MLK","ICE","FRV","FPO","FRF","FCC","BRD"}),1.28,IF(OR(MID(A17,5,3)={"BIS","CRP","HRB","TUR","IND","HYG"}),1.38,1.31)))),2)</f>
        <v>15.32</v>
      </c>
      <c r="I17" s="27">
        <f>(Table1[[#This Row],[SALE PRICE]]-Table1[[#This Row],[COST PRICE]])/Table1[[#This Row],[SALE PRICE]]</f>
        <v>0.17362924281984335</v>
      </c>
      <c r="J17" s="27" t="str">
        <f>IF(Table1[[#This Row],[MARGIN]]&lt;25%, "REVIEW", "OK")</f>
        <v>REVIEW</v>
      </c>
    </row>
    <row r="18" spans="1:10" ht="15.6" x14ac:dyDescent="0.3">
      <c r="A18" s="17" t="s">
        <v>1030</v>
      </c>
      <c r="B18" s="13" t="s">
        <v>29</v>
      </c>
      <c r="C18" s="13" t="s">
        <v>1426</v>
      </c>
      <c r="D18" s="11" t="s">
        <v>8</v>
      </c>
      <c r="E18" s="11" t="s">
        <v>8</v>
      </c>
      <c r="F18" s="13" t="s">
        <v>8</v>
      </c>
      <c r="G18" s="47">
        <v>11.1</v>
      </c>
      <c r="H18" s="47" cm="1">
        <f t="array" ref="H18">ROUND(G18*IF(OR(MID(A18,5,3)={"BFF","PRK","FPL","LMB","FFI","MET","RIC","FLR","SUG","OIL","DRK","JCE","FEG"}),1.21,IF(OR(MID(A18,5,3)={"FVG","FFR"}),1.33,IF(OR(MID(A18,5,3)={"FBT","FCH","FMK","FYG","MLK","ICE","FRV","FPO","FRF","FCC","BRD"}),1.28,IF(OR(MID(A18,5,3)={"BIS","CRP","HRB","TUR","IND","HYG"}),1.38,1.31)))),2)</f>
        <v>13.43</v>
      </c>
      <c r="I18" s="29">
        <f>(Table1[[#This Row],[SALE PRICE]]-Table1[[#This Row],[COST PRICE]])/Table1[[#This Row],[SALE PRICE]]</f>
        <v>0.1734921816827997</v>
      </c>
      <c r="J18" s="26" t="str">
        <f>IF(Table1[[#This Row],[MARGIN]]&lt;25%, "REVIEW", "OK")</f>
        <v>REVIEW</v>
      </c>
    </row>
    <row r="19" spans="1:10" ht="15.6" x14ac:dyDescent="0.3">
      <c r="A19" s="17" t="s">
        <v>1031</v>
      </c>
      <c r="B19" s="12" t="s">
        <v>31</v>
      </c>
      <c r="C19" s="12" t="s">
        <v>1426</v>
      </c>
      <c r="D19" s="10" t="s">
        <v>8</v>
      </c>
      <c r="E19" s="10" t="s">
        <v>8</v>
      </c>
      <c r="F19" s="12" t="s">
        <v>8</v>
      </c>
      <c r="G19" s="46">
        <v>14.99</v>
      </c>
      <c r="H19" s="46" cm="1">
        <f t="array" ref="H19">ROUND(G19*IF(OR(MID(A19,5,3)={"BFF","PRK","FPL","LMB","FFI","MET","RIC","FLR","SUG","OIL","DRK","JCE","FEG"}),1.21,IF(OR(MID(A19,5,3)={"FVG","FFR"}),1.33,IF(OR(MID(A19,5,3)={"FBT","FCH","FMK","FYG","MLK","ICE","FRV","FPO","FRF","FCC","BRD"}),1.28,IF(OR(MID(A19,5,3)={"BIS","CRP","HRB","TUR","IND","HYG"}),1.38,1.31)))),2)</f>
        <v>18.14</v>
      </c>
      <c r="I19" s="27">
        <f>(Table1[[#This Row],[SALE PRICE]]-Table1[[#This Row],[COST PRICE]])/Table1[[#This Row],[SALE PRICE]]</f>
        <v>0.17364939360529219</v>
      </c>
      <c r="J19" s="27" t="str">
        <f>IF(Table1[[#This Row],[MARGIN]]&lt;25%, "REVIEW", "OK")</f>
        <v>REVIEW</v>
      </c>
    </row>
    <row r="20" spans="1:10" ht="15.6" x14ac:dyDescent="0.3">
      <c r="A20" s="17" t="s">
        <v>1032</v>
      </c>
      <c r="B20" s="13" t="s">
        <v>33</v>
      </c>
      <c r="C20" s="13" t="s">
        <v>1426</v>
      </c>
      <c r="D20" s="11" t="s">
        <v>8</v>
      </c>
      <c r="E20" s="11" t="s">
        <v>8</v>
      </c>
      <c r="F20" s="13" t="s">
        <v>8</v>
      </c>
      <c r="G20" s="47">
        <v>13.55</v>
      </c>
      <c r="H20" s="47" cm="1">
        <f t="array" ref="H20">ROUND(G20*IF(OR(MID(A20,5,3)={"BFF","PRK","FPL","LMB","FFI","MET","RIC","FLR","SUG","OIL","DRK","JCE","FEG"}),1.21,IF(OR(MID(A20,5,3)={"FVG","FFR"}),1.33,IF(OR(MID(A20,5,3)={"FBT","FCH","FMK","FYG","MLK","ICE","FRV","FPO","FRF","FCC","BRD"}),1.28,IF(OR(MID(A20,5,3)={"BIS","CRP","HRB","TUR","IND","HYG"}),1.38,1.31)))),2)</f>
        <v>16.399999999999999</v>
      </c>
      <c r="I20" s="29">
        <f>(Table1[[#This Row],[SALE PRICE]]-Table1[[#This Row],[COST PRICE]])/Table1[[#This Row],[SALE PRICE]]</f>
        <v>0.17378048780487793</v>
      </c>
      <c r="J20" s="26" t="str">
        <f>IF(Table1[[#This Row],[MARGIN]]&lt;25%, "REVIEW", "OK")</f>
        <v>REVIEW</v>
      </c>
    </row>
    <row r="21" spans="1:10" ht="15.6" x14ac:dyDescent="0.3">
      <c r="A21" s="17" t="s">
        <v>1033</v>
      </c>
      <c r="B21" s="12" t="s">
        <v>35</v>
      </c>
      <c r="C21" s="12" t="s">
        <v>1426</v>
      </c>
      <c r="D21" s="10" t="s">
        <v>8</v>
      </c>
      <c r="E21" s="10" t="s">
        <v>8</v>
      </c>
      <c r="F21" s="12" t="s">
        <v>8</v>
      </c>
      <c r="G21" s="46">
        <v>3.59</v>
      </c>
      <c r="H21" s="46" cm="1">
        <f t="array" ref="H21">ROUND(G21*IF(OR(MID(A21,5,3)={"BFF","PRK","FPL","LMB","FFI","MET","RIC","FLR","SUG","OIL","DRK","JCE","FEG"}),1.21,IF(OR(MID(A21,5,3)={"FVG","FFR"}),1.33,IF(OR(MID(A21,5,3)={"FBT","FCH","FMK","FYG","MLK","ICE","FRV","FPO","FRF","FCC","BRD"}),1.28,IF(OR(MID(A21,5,3)={"BIS","CRP","HRB","TUR","IND","HYG"}),1.38,1.31)))),2)</f>
        <v>4.34</v>
      </c>
      <c r="I21" s="27">
        <f>(Table1[[#This Row],[SALE PRICE]]-Table1[[#This Row],[COST PRICE]])/Table1[[#This Row],[SALE PRICE]]</f>
        <v>0.1728110599078341</v>
      </c>
      <c r="J21" s="27" t="str">
        <f>IF(Table1[[#This Row],[MARGIN]]&lt;25%, "REVIEW", "OK")</f>
        <v>REVIEW</v>
      </c>
    </row>
    <row r="22" spans="1:10" ht="15.6" x14ac:dyDescent="0.3">
      <c r="A22" s="17" t="s">
        <v>36</v>
      </c>
      <c r="B22" s="13" t="s">
        <v>37</v>
      </c>
      <c r="C22" s="13" t="s">
        <v>1426</v>
      </c>
      <c r="D22" s="11" t="s">
        <v>8</v>
      </c>
      <c r="E22" s="11" t="s">
        <v>8</v>
      </c>
      <c r="F22" s="13" t="s">
        <v>8</v>
      </c>
      <c r="G22" s="47">
        <v>8.99</v>
      </c>
      <c r="H22" s="47" cm="1">
        <f t="array" ref="H22">ROUND(G22*IF(OR(MID(A22,5,3)={"BFF","PRK","FPL","LMB","FFI","MET","RIC","FLR","SUG","OIL","DRK","JCE","FEG"}),1.21,IF(OR(MID(A22,5,3)={"FVG","FFR"}),1.33,IF(OR(MID(A22,5,3)={"FBT","FCH","FMK","FYG","MLK","ICE","FRV","FPO","FRF","FCC","BRD"}),1.28,IF(OR(MID(A22,5,3)={"BIS","CRP","HRB","TUR","IND","HYG"}),1.38,1.31)))),2)</f>
        <v>10.88</v>
      </c>
      <c r="I22" s="29">
        <f>(Table1[[#This Row],[SALE PRICE]]-Table1[[#This Row],[COST PRICE]])/Table1[[#This Row],[SALE PRICE]]</f>
        <v>0.1737132352941177</v>
      </c>
      <c r="J22" s="26" t="str">
        <f>IF(Table1[[#This Row],[MARGIN]]&lt;25%, "REVIEW", "OK")</f>
        <v>REVIEW</v>
      </c>
    </row>
    <row r="23" spans="1:10" ht="15.6" x14ac:dyDescent="0.3">
      <c r="A23" s="59" t="s">
        <v>2286</v>
      </c>
      <c r="B23" s="60" t="s">
        <v>2288</v>
      </c>
      <c r="C23" s="60" t="s">
        <v>1426</v>
      </c>
      <c r="D23" s="61"/>
      <c r="E23" s="61"/>
      <c r="F23" s="60"/>
      <c r="G23" s="62">
        <v>10.26</v>
      </c>
      <c r="H23" s="63" cm="1">
        <f t="array" ref="H23">ROUND(G23*IF(OR(MID(A23,5,3)={"BFF","PRK","FPL","LMB","FFI","MET","RIC","FLR","SUG","OIL","DRK","JCE","FEG"}),1.21,IF(OR(MID(A23,5,3)={"FVG","FFR"}),1.33,IF(OR(MID(A23,5,3)={"FBT","FCH","FMK","FYG","MLK","ICE","FRV","FPO","FRF","FCC","BRD"}),1.28,IF(OR(MID(A23,5,3)={"BIS","CRP","HRB","TUR","IND","HYG"}),1.38,1.31)))),2)</f>
        <v>12.41</v>
      </c>
      <c r="I23" s="29">
        <f>(Table1[[#This Row],[SALE PRICE]]-Table1[[#This Row],[COST PRICE]])/Table1[[#This Row],[SALE PRICE]]</f>
        <v>0.17324738114423854</v>
      </c>
      <c r="J23" s="64" t="str">
        <f>IF(Table1[[#This Row],[MARGIN]]&lt;25%, "REVIEW", "OK")</f>
        <v>REVIEW</v>
      </c>
    </row>
    <row r="24" spans="1:10" ht="15.6" x14ac:dyDescent="0.3">
      <c r="A24" s="59" t="s">
        <v>2287</v>
      </c>
      <c r="B24" s="60" t="s">
        <v>2289</v>
      </c>
      <c r="C24" s="60" t="s">
        <v>1426</v>
      </c>
      <c r="D24" s="61"/>
      <c r="E24" s="61"/>
      <c r="F24" s="60"/>
      <c r="G24" s="62">
        <v>10.26</v>
      </c>
      <c r="H24" s="63" cm="1">
        <f t="array" ref="H24">ROUND(G24*IF(OR(MID(A24,5,3)={"BFF","PRK","FPL","LMB","FFI","MET","RIC","FLR","SUG","OIL","DRK","JCE","FEG"}),1.21,IF(OR(MID(A24,5,3)={"FVG","FFR"}),1.33,IF(OR(MID(A24,5,3)={"FBT","FCH","FMK","FYG","MLK","ICE","FRV","FPO","FRF","FCC","BRD"}),1.28,IF(OR(MID(A24,5,3)={"BIS","CRP","HRB","TUR","IND","HYG"}),1.38,1.31)))),2)</f>
        <v>12.41</v>
      </c>
      <c r="I24" s="29">
        <f>(Table1[[#This Row],[SALE PRICE]]-Table1[[#This Row],[COST PRICE]])/Table1[[#This Row],[SALE PRICE]]</f>
        <v>0.17324738114423854</v>
      </c>
      <c r="J24" s="64" t="str">
        <f>IF(Table1[[#This Row],[MARGIN]]&lt;25%, "REVIEW", "OK")</f>
        <v>REVIEW</v>
      </c>
    </row>
    <row r="25" spans="1:10" ht="15.6" x14ac:dyDescent="0.3">
      <c r="A25" s="59" t="s">
        <v>2290</v>
      </c>
      <c r="B25" s="60" t="s">
        <v>2291</v>
      </c>
      <c r="C25" s="60" t="s">
        <v>1426</v>
      </c>
      <c r="D25" s="61"/>
      <c r="E25" s="61"/>
      <c r="F25" s="60"/>
      <c r="G25" s="62">
        <v>10.26</v>
      </c>
      <c r="H25" s="63" cm="1">
        <f t="array" ref="H25">ROUND(G25*IF(OR(MID(A25,5,3)={"BFF","PRK","FPL","LMB","FFI","MET","RIC","FLR","SUG","OIL","DRK","JCE","FEG"}),1.21,IF(OR(MID(A25,5,3)={"FVG","FFR"}),1.33,IF(OR(MID(A25,5,3)={"FBT","FCH","FMK","FYG","MLK","ICE","FRV","FPO","FRF","FCC","BRD"}),1.28,IF(OR(MID(A25,5,3)={"BIS","CRP","HRB","TUR","IND","HYG"}),1.38,1.31)))),2)</f>
        <v>12.41</v>
      </c>
      <c r="I25" s="29">
        <f>(Table1[[#This Row],[SALE PRICE]]-Table1[[#This Row],[COST PRICE]])/Table1[[#This Row],[SALE PRICE]]</f>
        <v>0.17324738114423854</v>
      </c>
      <c r="J25" s="64" t="str">
        <f>IF(Table1[[#This Row],[MARGIN]]&lt;25%, "REVIEW", "OK")</f>
        <v>REVIEW</v>
      </c>
    </row>
    <row r="26" spans="1:10" s="1" customFormat="1" ht="15.6" x14ac:dyDescent="0.3">
      <c r="A26" s="16" t="s">
        <v>38</v>
      </c>
      <c r="B26" s="2" t="s">
        <v>8</v>
      </c>
      <c r="C26" s="2"/>
      <c r="D26" s="2" t="s">
        <v>8</v>
      </c>
      <c r="E26" s="2" t="s">
        <v>8</v>
      </c>
      <c r="F26" s="2" t="s">
        <v>8</v>
      </c>
      <c r="G26" s="48" t="s">
        <v>8</v>
      </c>
      <c r="H26" s="48" t="e" cm="1">
        <f t="array" ref="H26">ROUND(G26*IF(OR(MID(A26,5,3)={"BFF","PRK","FPL","LMB","FFI","MET","RIC","FLR","SUG","OIL","DRK","JCE","FEG"}),1.21,IF(OR(MID(A26,5,3)={"FVG","FFR"}),1.33,IF(OR(MID(A26,5,3)={"FBT","FCH","FMK","FYG","MLK","ICE","FRV","FPO","FRF","FCC","BRD"}),1.28,IF(OR(MID(A26,5,3)={"BIS","CRP","HRB","TUR","IND","HYG"}),1.38,1.31)))),2)</f>
        <v>#VALUE!</v>
      </c>
      <c r="I26" s="19"/>
      <c r="J26" s="19"/>
    </row>
    <row r="27" spans="1:10" ht="15.6" x14ac:dyDescent="0.3">
      <c r="A27" s="18" t="s">
        <v>39</v>
      </c>
      <c r="B27" s="13" t="s">
        <v>40</v>
      </c>
      <c r="C27" s="13" t="s">
        <v>1426</v>
      </c>
      <c r="D27" s="11" t="s">
        <v>8</v>
      </c>
      <c r="E27" s="11" t="s">
        <v>8</v>
      </c>
      <c r="F27" s="13" t="s">
        <v>8</v>
      </c>
      <c r="G27" s="47">
        <v>11.39</v>
      </c>
      <c r="H27" s="47" cm="1">
        <f t="array" ref="H27">ROUND(G27*IF(OR(MID(A27,5,3)={"BFF","PRK","FPL","LMB","FFI","MET","RIC","FLR","SUG","OIL","DRK","JCE","FEG"}),1.21,IF(OR(MID(A27,5,3)={"FVG","FFR"}),1.33,IF(OR(MID(A27,5,3)={"FBT","FCH","FMK","FYG","MLK","ICE","FRV","FPO","FRF","FCC","BRD"}),1.28,IF(OR(MID(A27,5,3)={"BIS","CRP","HRB","TUR","IND","HYG"}),1.38,1.31)))),2)</f>
        <v>13.78</v>
      </c>
      <c r="I27" s="29">
        <f>(Table1[[#This Row],[SALE PRICE]]-Table1[[#This Row],[COST PRICE]])/Table1[[#This Row],[SALE PRICE]]</f>
        <v>0.17343976777939035</v>
      </c>
      <c r="J27" s="26" t="str">
        <f>IF(Table1[[#This Row],[MARGIN]]&lt;25%, "REVIEW", "OK")</f>
        <v>REVIEW</v>
      </c>
    </row>
    <row r="28" spans="1:10" ht="15.6" x14ac:dyDescent="0.3">
      <c r="A28" s="17" t="s">
        <v>41</v>
      </c>
      <c r="B28" s="12" t="s">
        <v>42</v>
      </c>
      <c r="C28" s="12" t="s">
        <v>1426</v>
      </c>
      <c r="D28" s="10" t="s">
        <v>8</v>
      </c>
      <c r="E28" s="10" t="s">
        <v>8</v>
      </c>
      <c r="F28" s="12" t="s">
        <v>8</v>
      </c>
      <c r="G28" s="46">
        <v>10.79</v>
      </c>
      <c r="H28" s="46" cm="1">
        <f t="array" ref="H28">ROUND(G28*IF(OR(MID(A28,5,3)={"BFF","PRK","FPL","LMB","FFI","MET","RIC","FLR","SUG","OIL","DRK","JCE","FEG"}),1.21,IF(OR(MID(A28,5,3)={"FVG","FFR"}),1.33,IF(OR(MID(A28,5,3)={"FBT","FCH","FMK","FYG","MLK","ICE","FRV","FPO","FRF","FCC","BRD"}),1.28,IF(OR(MID(A28,5,3)={"BIS","CRP","HRB","TUR","IND","HYG"}),1.38,1.31)))),2)</f>
        <v>13.06</v>
      </c>
      <c r="I28" s="29">
        <f>(Table1[[#This Row],[SALE PRICE]]-Table1[[#This Row],[COST PRICE]])/Table1[[#This Row],[SALE PRICE]]</f>
        <v>0.17381316998468616</v>
      </c>
      <c r="J28" s="27" t="str">
        <f>IF(Table1[[#This Row],[MARGIN]]&lt;25%, "REVIEW", "OK")</f>
        <v>REVIEW</v>
      </c>
    </row>
    <row r="29" spans="1:10" ht="15.6" x14ac:dyDescent="0.3">
      <c r="A29" s="18" t="s">
        <v>43</v>
      </c>
      <c r="B29" s="13" t="s">
        <v>44</v>
      </c>
      <c r="C29" s="13" t="s">
        <v>1426</v>
      </c>
      <c r="D29" s="11" t="s">
        <v>8</v>
      </c>
      <c r="E29" s="11" t="s">
        <v>8</v>
      </c>
      <c r="F29" s="13" t="s">
        <v>8</v>
      </c>
      <c r="G29" s="47">
        <v>11.39</v>
      </c>
      <c r="H29" s="47" cm="1">
        <f t="array" ref="H29">ROUND(G29*IF(OR(MID(A29,5,3)={"BFF","PRK","FPL","LMB","FFI","MET","RIC","FLR","SUG","OIL","DRK","JCE","FEG"}),1.21,IF(OR(MID(A29,5,3)={"FVG","FFR"}),1.33,IF(OR(MID(A29,5,3)={"FBT","FCH","FMK","FYG","MLK","ICE","FRV","FPO","FRF","FCC","BRD"}),1.28,IF(OR(MID(A29,5,3)={"BIS","CRP","HRB","TUR","IND","HYG"}),1.38,1.31)))),2)</f>
        <v>13.78</v>
      </c>
      <c r="I29" s="29">
        <f>(Table1[[#This Row],[SALE PRICE]]-Table1[[#This Row],[COST PRICE]])/Table1[[#This Row],[SALE PRICE]]</f>
        <v>0.17343976777939035</v>
      </c>
      <c r="J29" s="26" t="str">
        <f>IF(Table1[[#This Row],[MARGIN]]&lt;25%, "REVIEW", "OK")</f>
        <v>REVIEW</v>
      </c>
    </row>
    <row r="30" spans="1:10" ht="15.6" x14ac:dyDescent="0.3">
      <c r="A30" s="17" t="s">
        <v>45</v>
      </c>
      <c r="B30" s="12" t="s">
        <v>46</v>
      </c>
      <c r="C30" s="12" t="s">
        <v>1426</v>
      </c>
      <c r="D30" s="10" t="s">
        <v>8</v>
      </c>
      <c r="E30" s="10" t="s">
        <v>8</v>
      </c>
      <c r="F30" s="12" t="s">
        <v>8</v>
      </c>
      <c r="G30" s="46">
        <v>23.99</v>
      </c>
      <c r="H30" s="46" cm="1">
        <f t="array" ref="H30">ROUND(G30*IF(OR(MID(A30,5,3)={"BFF","PRK","FPL","LMB","FFI","MET","RIC","FLR","SUG","OIL","DRK","JCE","FEG"}),1.21,IF(OR(MID(A30,5,3)={"FVG","FFR"}),1.33,IF(OR(MID(A30,5,3)={"FBT","FCH","FMK","FYG","MLK","ICE","FRV","FPO","FRF","FCC","BRD"}),1.28,IF(OR(MID(A30,5,3)={"BIS","CRP","HRB","TUR","IND","HYG"}),1.38,1.31)))),2)</f>
        <v>29.03</v>
      </c>
      <c r="I30" s="29">
        <f>(Table1[[#This Row],[SALE PRICE]]-Table1[[#This Row],[COST PRICE]])/Table1[[#This Row],[SALE PRICE]]</f>
        <v>0.17361350327247682</v>
      </c>
      <c r="J30" s="27" t="str">
        <f>IF(Table1[[#This Row],[MARGIN]]&lt;25%, "REVIEW", "OK")</f>
        <v>REVIEW</v>
      </c>
    </row>
    <row r="31" spans="1:10" ht="15.6" x14ac:dyDescent="0.3">
      <c r="A31" s="18" t="s">
        <v>47</v>
      </c>
      <c r="B31" s="13" t="s">
        <v>48</v>
      </c>
      <c r="C31" s="13" t="s">
        <v>1426</v>
      </c>
      <c r="D31" s="11" t="s">
        <v>8</v>
      </c>
      <c r="E31" s="11" t="s">
        <v>8</v>
      </c>
      <c r="F31" s="13" t="s">
        <v>8</v>
      </c>
      <c r="G31" s="47">
        <v>12.35</v>
      </c>
      <c r="H31" s="47" cm="1">
        <f t="array" ref="H31">ROUND(G31*IF(OR(MID(A31,5,3)={"BFF","PRK","FPL","LMB","FFI","MET","RIC","FLR","SUG","OIL","DRK","JCE","FEG"}),1.21,IF(OR(MID(A31,5,3)={"FVG","FFR"}),1.33,IF(OR(MID(A31,5,3)={"FBT","FCH","FMK","FYG","MLK","ICE","FRV","FPO","FRF","FCC","BRD"}),1.28,IF(OR(MID(A31,5,3)={"BIS","CRP","HRB","TUR","IND","HYG"}),1.38,1.31)))),2)</f>
        <v>14.94</v>
      </c>
      <c r="I31" s="29">
        <f>(Table1[[#This Row],[SALE PRICE]]-Table1[[#This Row],[COST PRICE]])/Table1[[#This Row],[SALE PRICE]]</f>
        <v>0.17336010709504684</v>
      </c>
      <c r="J31" s="26" t="str">
        <f>IF(Table1[[#This Row],[MARGIN]]&lt;25%, "REVIEW", "OK")</f>
        <v>REVIEW</v>
      </c>
    </row>
    <row r="32" spans="1:10" ht="15.6" x14ac:dyDescent="0.3">
      <c r="A32" s="17" t="s">
        <v>49</v>
      </c>
      <c r="B32" s="12" t="s">
        <v>50</v>
      </c>
      <c r="C32" s="12" t="s">
        <v>1426</v>
      </c>
      <c r="D32" s="10" t="s">
        <v>8</v>
      </c>
      <c r="E32" s="10" t="s">
        <v>8</v>
      </c>
      <c r="F32" s="12" t="s">
        <v>8</v>
      </c>
      <c r="G32" s="46">
        <v>29.99</v>
      </c>
      <c r="H32" s="46" cm="1">
        <f t="array" ref="H32">ROUND(G32*IF(OR(MID(A32,5,3)={"BFF","PRK","FPL","LMB","FFI","MET","RIC","FLR","SUG","OIL","DRK","JCE","FEG"}),1.21,IF(OR(MID(A32,5,3)={"FVG","FFR"}),1.33,IF(OR(MID(A32,5,3)={"FBT","FCH","FMK","FYG","MLK","ICE","FRV","FPO","FRF","FCC","BRD"}),1.28,IF(OR(MID(A32,5,3)={"BIS","CRP","HRB","TUR","IND","HYG"}),1.38,1.31)))),2)</f>
        <v>36.29</v>
      </c>
      <c r="I32" s="29">
        <f>(Table1[[#This Row],[SALE PRICE]]-Table1[[#This Row],[COST PRICE]])/Table1[[#This Row],[SALE PRICE]]</f>
        <v>0.17360154312482781</v>
      </c>
      <c r="J32" s="27" t="str">
        <f>IF(Table1[[#This Row],[MARGIN]]&lt;25%, "REVIEW", "OK")</f>
        <v>REVIEW</v>
      </c>
    </row>
    <row r="33" spans="1:10" ht="15.6" x14ac:dyDescent="0.3">
      <c r="A33" s="18" t="s">
        <v>51</v>
      </c>
      <c r="B33" s="13" t="s">
        <v>52</v>
      </c>
      <c r="C33" s="13" t="s">
        <v>1426</v>
      </c>
      <c r="D33" s="11" t="s">
        <v>8</v>
      </c>
      <c r="E33" s="11" t="s">
        <v>8</v>
      </c>
      <c r="F33" s="13" t="s">
        <v>8</v>
      </c>
      <c r="G33" s="47">
        <v>12.59</v>
      </c>
      <c r="H33" s="47" cm="1">
        <f t="array" ref="H33">ROUND(G33*IF(OR(MID(A33,5,3)={"BFF","PRK","FPL","LMB","FFI","MET","RIC","FLR","SUG","OIL","DRK","JCE","FEG"}),1.21,IF(OR(MID(A33,5,3)={"FVG","FFR"}),1.33,IF(OR(MID(A33,5,3)={"FBT","FCH","FMK","FYG","MLK","ICE","FRV","FPO","FRF","FCC","BRD"}),1.28,IF(OR(MID(A33,5,3)={"BIS","CRP","HRB","TUR","IND","HYG"}),1.38,1.31)))),2)</f>
        <v>15.23</v>
      </c>
      <c r="I33" s="29">
        <f>(Table1[[#This Row],[SALE PRICE]]-Table1[[#This Row],[COST PRICE]])/Table1[[#This Row],[SALE PRICE]]</f>
        <v>0.17334208798424167</v>
      </c>
      <c r="J33" s="26" t="str">
        <f>IF(Table1[[#This Row],[MARGIN]]&lt;25%, "REVIEW", "OK")</f>
        <v>REVIEW</v>
      </c>
    </row>
    <row r="34" spans="1:10" ht="15.6" x14ac:dyDescent="0.3">
      <c r="A34" s="17" t="s">
        <v>53</v>
      </c>
      <c r="B34" s="12" t="s">
        <v>54</v>
      </c>
      <c r="C34" s="12" t="s">
        <v>1426</v>
      </c>
      <c r="D34" s="10" t="s">
        <v>8</v>
      </c>
      <c r="E34" s="10" t="s">
        <v>8</v>
      </c>
      <c r="F34" s="12" t="s">
        <v>8</v>
      </c>
      <c r="G34" s="46">
        <v>12.59</v>
      </c>
      <c r="H34" s="46" cm="1">
        <f t="array" ref="H34">ROUND(G34*IF(OR(MID(A34,5,3)={"BFF","PRK","FPL","LMB","FFI","MET","RIC","FLR","SUG","OIL","DRK","JCE","FEG"}),1.21,IF(OR(MID(A34,5,3)={"FVG","FFR"}),1.33,IF(OR(MID(A34,5,3)={"FBT","FCH","FMK","FYG","MLK","ICE","FRV","FPO","FRF","FCC","BRD"}),1.28,IF(OR(MID(A34,5,3)={"BIS","CRP","HRB","TUR","IND","HYG"}),1.38,1.31)))),2)</f>
        <v>15.23</v>
      </c>
      <c r="I34" s="29">
        <f>(Table1[[#This Row],[SALE PRICE]]-Table1[[#This Row],[COST PRICE]])/Table1[[#This Row],[SALE PRICE]]</f>
        <v>0.17334208798424167</v>
      </c>
      <c r="J34" s="27" t="str">
        <f>IF(Table1[[#This Row],[MARGIN]]&lt;25%, "REVIEW", "OK")</f>
        <v>REVIEW</v>
      </c>
    </row>
    <row r="35" spans="1:10" ht="15.6" x14ac:dyDescent="0.3">
      <c r="A35" s="18" t="s">
        <v>55</v>
      </c>
      <c r="B35" s="13" t="s">
        <v>56</v>
      </c>
      <c r="C35" s="13" t="s">
        <v>1426</v>
      </c>
      <c r="D35" s="11" t="s">
        <v>8</v>
      </c>
      <c r="E35" s="11" t="s">
        <v>8</v>
      </c>
      <c r="F35" s="13" t="s">
        <v>8</v>
      </c>
      <c r="G35" s="47">
        <v>20.28</v>
      </c>
      <c r="H35" s="47" cm="1">
        <f t="array" ref="H35">ROUND(G35*IF(OR(MID(A35,5,3)={"BFF","PRK","FPL","LMB","FFI","MET","RIC","FLR","SUG","OIL","DRK","JCE","FEG"}),1.21,IF(OR(MID(A35,5,3)={"FVG","FFR"}),1.33,IF(OR(MID(A35,5,3)={"FBT","FCH","FMK","FYG","MLK","ICE","FRV","FPO","FRF","FCC","BRD"}),1.28,IF(OR(MID(A35,5,3)={"BIS","CRP","HRB","TUR","IND","HYG"}),1.38,1.31)))),2)</f>
        <v>24.54</v>
      </c>
      <c r="I35" s="29">
        <f>(Table1[[#This Row],[SALE PRICE]]-Table1[[#This Row],[COST PRICE]])/Table1[[#This Row],[SALE PRICE]]</f>
        <v>0.17359413202933976</v>
      </c>
      <c r="J35" s="26" t="str">
        <f>IF(Table1[[#This Row],[MARGIN]]&lt;25%, "REVIEW", "OK")</f>
        <v>REVIEW</v>
      </c>
    </row>
    <row r="36" spans="1:10" ht="15.6" x14ac:dyDescent="0.3">
      <c r="A36" s="17" t="s">
        <v>57</v>
      </c>
      <c r="B36" s="12" t="s">
        <v>1895</v>
      </c>
      <c r="C36" s="12" t="s">
        <v>1426</v>
      </c>
      <c r="D36" s="10"/>
      <c r="E36" s="10"/>
      <c r="F36" s="12"/>
      <c r="G36" s="46">
        <v>20.28</v>
      </c>
      <c r="H36" s="46" cm="1">
        <f t="array" ref="H36">ROUND(G36*IF(OR(MID(A36,5,3)={"BFF","PRK","FPL","LMB","FFI","MET","RIC","FLR","SUG","OIL","DRK","JCE","FEG"}),1.21,IF(OR(MID(A36,5,3)={"FVG","FFR"}),1.33,IF(OR(MID(A36,5,3)={"FBT","FCH","FMK","FYG","MLK","ICE","FRV","FPO","FRF","FCC","BRD"}),1.28,IF(OR(MID(A36,5,3)={"BIS","CRP","HRB","TUR","IND","HYG"}),1.38,1.31)))),2)</f>
        <v>24.54</v>
      </c>
      <c r="I36" s="29">
        <f>(Table1[[#This Row],[SALE PRICE]]-Table1[[#This Row],[COST PRICE]])/Table1[[#This Row],[SALE PRICE]]</f>
        <v>0.17359413202933976</v>
      </c>
      <c r="J36" s="27" t="str">
        <f>IF(Table1[[#This Row],[MARGIN]]&lt;25%, "REVIEW", "OK")</f>
        <v>REVIEW</v>
      </c>
    </row>
    <row r="37" spans="1:10" ht="15.6" x14ac:dyDescent="0.3">
      <c r="A37" s="18" t="s">
        <v>57</v>
      </c>
      <c r="B37" s="13" t="s">
        <v>58</v>
      </c>
      <c r="C37" s="13" t="s">
        <v>1426</v>
      </c>
      <c r="D37" s="11" t="s">
        <v>8</v>
      </c>
      <c r="E37" s="11" t="s">
        <v>8</v>
      </c>
      <c r="F37" s="13" t="s">
        <v>8</v>
      </c>
      <c r="G37" s="47">
        <v>14.63</v>
      </c>
      <c r="H37" s="47" cm="1">
        <f t="array" ref="H37">ROUND(G37*IF(OR(MID(A37,5,3)={"BFF","PRK","FPL","LMB","FFI","MET","RIC","FLR","SUG","OIL","DRK","JCE","FEG"}),1.21,IF(OR(MID(A37,5,3)={"FVG","FFR"}),1.33,IF(OR(MID(A37,5,3)={"FBT","FCH","FMK","FYG","MLK","ICE","FRV","FPO","FRF","FCC","BRD"}),1.28,IF(OR(MID(A37,5,3)={"BIS","CRP","HRB","TUR","IND","HYG"}),1.38,1.31)))),2)</f>
        <v>17.7</v>
      </c>
      <c r="I37" s="29">
        <f>(Table1[[#This Row],[SALE PRICE]]-Table1[[#This Row],[COST PRICE]])/Table1[[#This Row],[SALE PRICE]]</f>
        <v>0.17344632768361573</v>
      </c>
      <c r="J37" s="26" t="str">
        <f>IF(Table1[[#This Row],[MARGIN]]&lt;25%, "REVIEW", "OK")</f>
        <v>REVIEW</v>
      </c>
    </row>
    <row r="38" spans="1:10" ht="15.6" x14ac:dyDescent="0.3">
      <c r="A38" s="17" t="s">
        <v>59</v>
      </c>
      <c r="B38" s="12" t="s">
        <v>60</v>
      </c>
      <c r="C38" s="12" t="s">
        <v>1426</v>
      </c>
      <c r="D38" s="10" t="s">
        <v>8</v>
      </c>
      <c r="E38" s="10" t="s">
        <v>8</v>
      </c>
      <c r="F38" s="12" t="s">
        <v>8</v>
      </c>
      <c r="G38" s="46">
        <v>11.39</v>
      </c>
      <c r="H38" s="46" cm="1">
        <f t="array" ref="H38">ROUND(G38*IF(OR(MID(A38,5,3)={"BFF","PRK","FPL","LMB","FFI","MET","RIC","FLR","SUG","OIL","DRK","JCE","FEG"}),1.21,IF(OR(MID(A38,5,3)={"FVG","FFR"}),1.33,IF(OR(MID(A38,5,3)={"FBT","FCH","FMK","FYG","MLK","ICE","FRV","FPO","FRF","FCC","BRD"}),1.28,IF(OR(MID(A38,5,3)={"BIS","CRP","HRB","TUR","IND","HYG"}),1.38,1.31)))),2)</f>
        <v>13.78</v>
      </c>
      <c r="I38" s="29">
        <f>(Table1[[#This Row],[SALE PRICE]]-Table1[[#This Row],[COST PRICE]])/Table1[[#This Row],[SALE PRICE]]</f>
        <v>0.17343976777939035</v>
      </c>
      <c r="J38" s="27" t="str">
        <f>IF(Table1[[#This Row],[MARGIN]]&lt;25%, "REVIEW", "OK")</f>
        <v>REVIEW</v>
      </c>
    </row>
    <row r="39" spans="1:10" ht="15.6" x14ac:dyDescent="0.3">
      <c r="A39" s="18" t="s">
        <v>61</v>
      </c>
      <c r="B39" s="13" t="s">
        <v>62</v>
      </c>
      <c r="C39" s="13" t="s">
        <v>1426</v>
      </c>
      <c r="D39" s="11" t="s">
        <v>8</v>
      </c>
      <c r="E39" s="11" t="s">
        <v>8</v>
      </c>
      <c r="F39" s="13" t="s">
        <v>8</v>
      </c>
      <c r="G39" s="47">
        <v>14.63</v>
      </c>
      <c r="H39" s="47" cm="1">
        <f t="array" ref="H39">ROUND(G39*IF(OR(MID(A39,5,3)={"BFF","PRK","FPL","LMB","FFI","MET","RIC","FLR","SUG","OIL","DRK","JCE","FEG"}),1.21,IF(OR(MID(A39,5,3)={"FVG","FFR"}),1.33,IF(OR(MID(A39,5,3)={"FBT","FCH","FMK","FYG","MLK","ICE","FRV","FPO","FRF","FCC","BRD"}),1.28,IF(OR(MID(A39,5,3)={"BIS","CRP","HRB","TUR","IND","HYG"}),1.38,1.31)))),2)</f>
        <v>17.7</v>
      </c>
      <c r="I39" s="29">
        <f>(Table1[[#This Row],[SALE PRICE]]-Table1[[#This Row],[COST PRICE]])/Table1[[#This Row],[SALE PRICE]]</f>
        <v>0.17344632768361573</v>
      </c>
      <c r="J39" s="26" t="str">
        <f>IF(Table1[[#This Row],[MARGIN]]&lt;25%, "REVIEW", "OK")</f>
        <v>REVIEW</v>
      </c>
    </row>
    <row r="40" spans="1:10" ht="15.6" x14ac:dyDescent="0.3">
      <c r="A40" s="17" t="s">
        <v>63</v>
      </c>
      <c r="B40" s="12" t="s">
        <v>64</v>
      </c>
      <c r="C40" s="12" t="s">
        <v>1426</v>
      </c>
      <c r="D40" s="10" t="s">
        <v>8</v>
      </c>
      <c r="E40" s="10" t="s">
        <v>8</v>
      </c>
      <c r="F40" s="12" t="s">
        <v>8</v>
      </c>
      <c r="G40" s="46">
        <v>11.36</v>
      </c>
      <c r="H40" s="46" cm="1">
        <f t="array" ref="H40">ROUND(G40*IF(OR(MID(A40,5,3)={"BFF","PRK","FPL","LMB","FFI","MET","RIC","FLR","SUG","OIL","DRK","JCE","FEG"}),1.21,IF(OR(MID(A40,5,3)={"FVG","FFR"}),1.33,IF(OR(MID(A40,5,3)={"FBT","FCH","FMK","FYG","MLK","ICE","FRV","FPO","FRF","FCC","BRD"}),1.28,IF(OR(MID(A40,5,3)={"BIS","CRP","HRB","TUR","IND","HYG"}),1.38,1.31)))),2)</f>
        <v>13.75</v>
      </c>
      <c r="I40" s="29">
        <f>(Table1[[#This Row],[SALE PRICE]]-Table1[[#This Row],[COST PRICE]])/Table1[[#This Row],[SALE PRICE]]</f>
        <v>0.17381818181818187</v>
      </c>
      <c r="J40" s="27" t="str">
        <f>IF(Table1[[#This Row],[MARGIN]]&lt;25%, "REVIEW", "OK")</f>
        <v>REVIEW</v>
      </c>
    </row>
    <row r="41" spans="1:10" ht="15.6" x14ac:dyDescent="0.3">
      <c r="A41" s="18" t="s">
        <v>1896</v>
      </c>
      <c r="B41" s="13" t="s">
        <v>1898</v>
      </c>
      <c r="C41" s="13" t="s">
        <v>1431</v>
      </c>
      <c r="D41" s="11"/>
      <c r="E41" s="11"/>
      <c r="F41" s="13"/>
      <c r="G41" s="47">
        <v>2.99</v>
      </c>
      <c r="H41" s="47" cm="1">
        <f t="array" ref="H41">ROUND(G41*IF(OR(MID(A41,5,3)={"BFF","PRK","FPL","LMB","FFI","MET","RIC","FLR","SUG","OIL","DRK","JCE","FEG"}),1.21,IF(OR(MID(A41,5,3)={"FVG","FFR"}),1.33,IF(OR(MID(A41,5,3)={"FBT","FCH","FMK","FYG","MLK","ICE","FRV","FPO","FRF","FCC","BRD"}),1.28,IF(OR(MID(A41,5,3)={"BIS","CRP","HRB","TUR","IND","HYG"}),1.38,1.31)))),2)</f>
        <v>3.62</v>
      </c>
      <c r="I41" s="29">
        <f>(Table1[[#This Row],[SALE PRICE]]-Table1[[#This Row],[COST PRICE]])/Table1[[#This Row],[SALE PRICE]]</f>
        <v>0.17403314917127069</v>
      </c>
      <c r="J41" s="26" t="str">
        <f>IF(Table1[[#This Row],[MARGIN]]&lt;25%, "REVIEW", "OK")</f>
        <v>REVIEW</v>
      </c>
    </row>
    <row r="42" spans="1:10" ht="15.6" x14ac:dyDescent="0.3">
      <c r="A42" s="17" t="s">
        <v>1897</v>
      </c>
      <c r="B42" s="12" t="s">
        <v>1901</v>
      </c>
      <c r="C42" s="12" t="s">
        <v>1431</v>
      </c>
      <c r="D42" s="10"/>
      <c r="E42" s="10"/>
      <c r="F42" s="12"/>
      <c r="G42" s="46">
        <v>6.99</v>
      </c>
      <c r="H42" s="46" cm="1">
        <f t="array" ref="H42">ROUND(G42*IF(OR(MID(A42,5,3)={"BFF","PRK","FPL","LMB","FFI","MET","RIC","FLR","SUG","OIL","DRK","JCE","FEG"}),1.21,IF(OR(MID(A42,5,3)={"FVG","FFR"}),1.33,IF(OR(MID(A42,5,3)={"FBT","FCH","FMK","FYG","MLK","ICE","FRV","FPO","FRF","FCC","BRD"}),1.28,IF(OR(MID(A42,5,3)={"BIS","CRP","HRB","TUR","IND","HYG"}),1.38,1.31)))),2)</f>
        <v>8.4600000000000009</v>
      </c>
      <c r="I42" s="29">
        <f>(Table1[[#This Row],[SALE PRICE]]-Table1[[#This Row],[COST PRICE]])/Table1[[#This Row],[SALE PRICE]]</f>
        <v>0.17375886524822701</v>
      </c>
      <c r="J42" s="27" t="str">
        <f>IF(Table1[[#This Row],[MARGIN]]&lt;25%, "REVIEW", "OK")</f>
        <v>REVIEW</v>
      </c>
    </row>
    <row r="43" spans="1:10" ht="15.6" x14ac:dyDescent="0.3">
      <c r="A43" s="18" t="s">
        <v>1899</v>
      </c>
      <c r="B43" s="13" t="s">
        <v>1900</v>
      </c>
      <c r="C43" s="13" t="s">
        <v>1431</v>
      </c>
      <c r="D43" s="11"/>
      <c r="E43" s="11"/>
      <c r="F43" s="13"/>
      <c r="G43" s="47">
        <v>14.99</v>
      </c>
      <c r="H43" s="47" cm="1">
        <f t="array" ref="H43">ROUND(G43*IF(OR(MID(A43,5,3)={"BFF","PRK","FPL","LMB","FFI","MET","RIC","FLR","SUG","OIL","DRK","JCE","FEG"}),1.21,IF(OR(MID(A43,5,3)={"FVG","FFR"}),1.33,IF(OR(MID(A43,5,3)={"FBT","FCH","FMK","FYG","MLK","ICE","FRV","FPO","FRF","FCC","BRD"}),1.28,IF(OR(MID(A43,5,3)={"BIS","CRP","HRB","TUR","IND","HYG"}),1.38,1.31)))),2)</f>
        <v>18.14</v>
      </c>
      <c r="I43" s="29">
        <f>(Table1[[#This Row],[SALE PRICE]]-Table1[[#This Row],[COST PRICE]])/Table1[[#This Row],[SALE PRICE]]</f>
        <v>0.17364939360529219</v>
      </c>
      <c r="J43" s="26" t="str">
        <f>IF(Table1[[#This Row],[MARGIN]]&lt;25%, "REVIEW", "OK")</f>
        <v>REVIEW</v>
      </c>
    </row>
    <row r="44" spans="1:10" s="1" customFormat="1" ht="15.6" x14ac:dyDescent="0.3">
      <c r="A44" s="16" t="s">
        <v>65</v>
      </c>
      <c r="B44" s="2" t="s">
        <v>8</v>
      </c>
      <c r="C44" s="2"/>
      <c r="D44" s="2" t="s">
        <v>8</v>
      </c>
      <c r="E44" s="2" t="s">
        <v>8</v>
      </c>
      <c r="F44" s="2" t="s">
        <v>8</v>
      </c>
      <c r="G44" s="48" t="s">
        <v>8</v>
      </c>
      <c r="H44" s="48" t="e" cm="1">
        <f t="array" ref="H44">ROUND(G44*IF(OR(MID(A44,5,3)={"BFF","PRK","FPL","LMB","FFI","MET","RIC","FLR","SUG","OIL","DRK","JCE","FEG"}),1.21,IF(OR(MID(A44,5,3)={"FVG","FFR"}),1.33,IF(OR(MID(A44,5,3)={"FBT","FCH","FMK","FYG","MLK","ICE","FRV","FPO","FRF","FCC","BRD"}),1.28,IF(OR(MID(A44,5,3)={"BIS","CRP","HRB","TUR","IND","HYG"}),1.38,1.31)))),2)</f>
        <v>#VALUE!</v>
      </c>
      <c r="I44" s="19"/>
      <c r="J44" s="19"/>
    </row>
    <row r="45" spans="1:10" ht="15.6" x14ac:dyDescent="0.3">
      <c r="A45" s="17" t="s">
        <v>66</v>
      </c>
      <c r="B45" s="12" t="s">
        <v>67</v>
      </c>
      <c r="C45" s="12" t="s">
        <v>1426</v>
      </c>
      <c r="D45" s="10" t="s">
        <v>8</v>
      </c>
      <c r="E45" s="10" t="s">
        <v>8</v>
      </c>
      <c r="F45" s="12" t="s">
        <v>8</v>
      </c>
      <c r="G45" s="46">
        <v>7.85</v>
      </c>
      <c r="H45" s="47" cm="1">
        <f t="array" ref="H45">ROUND(G45*IF(OR(MID(A45,5,3)={"BFF","PRK","FPL","LMB","FFI","MET","RIC","FLR","SUG","OIL","DRK","JCE","FEG"}),1.21,IF(OR(MID(A45,5,3)={"FVG","FFR"}),1.33,IF(OR(MID(A45,5,3)={"FBT","FCH","FMK","FYG","MLK","ICE","FRV","FPO","FRF","FCC","BRD"}),1.28,IF(OR(MID(A45,5,3)={"BIS","CRP","HRB","TUR","IND","HYG"}),1.38,1.31)))),2)</f>
        <v>10.050000000000001</v>
      </c>
      <c r="I45" s="29">
        <f>(Table1[[#This Row],[SALE PRICE]]-Table1[[#This Row],[COST PRICE]])/Table1[[#This Row],[SALE PRICE]]</f>
        <v>0.21890547263681601</v>
      </c>
      <c r="J45" s="26" t="str">
        <f>IF(Table1[[#This Row],[MARGIN]]&lt;25%, "REVIEW", "OK")</f>
        <v>REVIEW</v>
      </c>
    </row>
    <row r="46" spans="1:10" ht="15.6" x14ac:dyDescent="0.3">
      <c r="A46" s="18" t="s">
        <v>68</v>
      </c>
      <c r="B46" s="13" t="s">
        <v>69</v>
      </c>
      <c r="C46" s="13" t="s">
        <v>1426</v>
      </c>
      <c r="D46" s="11" t="s">
        <v>8</v>
      </c>
      <c r="E46" s="11" t="s">
        <v>8</v>
      </c>
      <c r="F46" s="13" t="s">
        <v>8</v>
      </c>
      <c r="G46" s="47">
        <v>7.85</v>
      </c>
      <c r="H46" s="46" cm="1">
        <f t="array" ref="H46">ROUND(G46*IF(OR(MID(A46,5,3)={"BFF","PRK","FPL","LMB","FFI","MET","RIC","FLR","SUG","OIL","DRK","JCE","FEG"}),1.21,IF(OR(MID(A46,5,3)={"FVG","FFR"}),1.33,IF(OR(MID(A46,5,3)={"FBT","FCH","FMK","FYG","MLK","ICE","FRV","FPO","FRF","FCC","BRD"}),1.28,IF(OR(MID(A46,5,3)={"BIS","CRP","HRB","TUR","IND","HYG"}),1.38,1.31)))),2)</f>
        <v>10.050000000000001</v>
      </c>
      <c r="I46" s="27">
        <f>(Table1[[#This Row],[SALE PRICE]]-Table1[[#This Row],[COST PRICE]])/Table1[[#This Row],[SALE PRICE]]</f>
        <v>0.21890547263681601</v>
      </c>
      <c r="J46" s="27" t="str">
        <f>IF(Table1[[#This Row],[MARGIN]]&lt;25%, "REVIEW", "OK")</f>
        <v>REVIEW</v>
      </c>
    </row>
    <row r="47" spans="1:10" ht="15.6" x14ac:dyDescent="0.3">
      <c r="A47" s="17" t="s">
        <v>70</v>
      </c>
      <c r="B47" s="12" t="s">
        <v>71</v>
      </c>
      <c r="C47" s="12" t="s">
        <v>1426</v>
      </c>
      <c r="D47" s="10" t="s">
        <v>8</v>
      </c>
      <c r="E47" s="10" t="s">
        <v>8</v>
      </c>
      <c r="F47" s="12" t="s">
        <v>8</v>
      </c>
      <c r="G47" s="46">
        <v>7.85</v>
      </c>
      <c r="H47" s="47" cm="1">
        <f t="array" ref="H47">ROUND(G47*IF(OR(MID(A47,5,3)={"BFF","PRK","FPL","LMB","FFI","MET","RIC","FLR","SUG","OIL","DRK","JCE","FEG"}),1.21,IF(OR(MID(A47,5,3)={"FVG","FFR"}),1.33,IF(OR(MID(A47,5,3)={"FBT","FCH","FMK","FYG","MLK","ICE","FRV","FPO","FRF","FCC","BRD"}),1.28,IF(OR(MID(A47,5,3)={"BIS","CRP","HRB","TUR","IND","HYG"}),1.38,1.31)))),2)</f>
        <v>10.050000000000001</v>
      </c>
      <c r="I47" s="29">
        <f>(Table1[[#This Row],[SALE PRICE]]-Table1[[#This Row],[COST PRICE]])/Table1[[#This Row],[SALE PRICE]]</f>
        <v>0.21890547263681601</v>
      </c>
      <c r="J47" s="26" t="str">
        <f>IF(Table1[[#This Row],[MARGIN]]&lt;25%, "REVIEW", "OK")</f>
        <v>REVIEW</v>
      </c>
    </row>
    <row r="48" spans="1:10" ht="15.6" x14ac:dyDescent="0.3">
      <c r="A48" s="18" t="s">
        <v>72</v>
      </c>
      <c r="B48" s="13" t="s">
        <v>73</v>
      </c>
      <c r="C48" s="13" t="s">
        <v>1426</v>
      </c>
      <c r="D48" s="11" t="s">
        <v>8</v>
      </c>
      <c r="E48" s="11" t="s">
        <v>8</v>
      </c>
      <c r="F48" s="13" t="s">
        <v>8</v>
      </c>
      <c r="G48" s="47">
        <v>19.25</v>
      </c>
      <c r="H48" s="46" cm="1">
        <f t="array" ref="H48">ROUND(G48*IF(OR(MID(A48,5,3)={"BFF","PRK","FPL","LMB","FFI","MET","RIC","FLR","SUG","OIL","DRK","JCE","FEG"}),1.21,IF(OR(MID(A48,5,3)={"FVG","FFR"}),1.33,IF(OR(MID(A48,5,3)={"FBT","FCH","FMK","FYG","MLK","ICE","FRV","FPO","FRF","FCC","BRD"}),1.28,IF(OR(MID(A48,5,3)={"BIS","CRP","HRB","TUR","IND","HYG"}),1.38,1.31)))),2)</f>
        <v>24.64</v>
      </c>
      <c r="I48" s="27">
        <f>(Table1[[#This Row],[SALE PRICE]]-Table1[[#This Row],[COST PRICE]])/Table1[[#This Row],[SALE PRICE]]</f>
        <v>0.21875000000000003</v>
      </c>
      <c r="J48" s="27" t="str">
        <f>IF(Table1[[#This Row],[MARGIN]]&lt;25%, "REVIEW", "OK")</f>
        <v>REVIEW</v>
      </c>
    </row>
    <row r="49" spans="1:10" ht="15.6" x14ac:dyDescent="0.3">
      <c r="A49" s="17" t="s">
        <v>74</v>
      </c>
      <c r="B49" s="12" t="s">
        <v>75</v>
      </c>
      <c r="C49" s="12" t="s">
        <v>1426</v>
      </c>
      <c r="D49" s="10" t="s">
        <v>8</v>
      </c>
      <c r="E49" s="10" t="s">
        <v>8</v>
      </c>
      <c r="F49" s="12" t="s">
        <v>8</v>
      </c>
      <c r="G49" s="46">
        <v>14.75</v>
      </c>
      <c r="H49" s="47" cm="1">
        <f t="array" ref="H49">ROUND(G49*IF(OR(MID(A49,5,3)={"BFF","PRK","FPL","LMB","FFI","MET","RIC","FLR","SUG","OIL","DRK","JCE","FEG"}),1.21,IF(OR(MID(A49,5,3)={"FVG","FFR"}),1.33,IF(OR(MID(A49,5,3)={"FBT","FCH","FMK","FYG","MLK","ICE","FRV","FPO","FRF","FCC","BRD"}),1.28,IF(OR(MID(A49,5,3)={"BIS","CRP","HRB","TUR","IND","HYG"}),1.38,1.31)))),2)</f>
        <v>18.88</v>
      </c>
      <c r="I49" s="29">
        <f>(Table1[[#This Row],[SALE PRICE]]-Table1[[#This Row],[COST PRICE]])/Table1[[#This Row],[SALE PRICE]]</f>
        <v>0.21874999999999997</v>
      </c>
      <c r="J49" s="26" t="str">
        <f>IF(Table1[[#This Row],[MARGIN]]&lt;25%, "REVIEW", "OK")</f>
        <v>REVIEW</v>
      </c>
    </row>
    <row r="50" spans="1:10" ht="15.6" x14ac:dyDescent="0.3">
      <c r="A50" s="18" t="s">
        <v>76</v>
      </c>
      <c r="B50" s="13" t="s">
        <v>77</v>
      </c>
      <c r="C50" s="13" t="s">
        <v>1426</v>
      </c>
      <c r="D50" s="11" t="s">
        <v>8</v>
      </c>
      <c r="E50" s="11" t="s">
        <v>8</v>
      </c>
      <c r="F50" s="13" t="s">
        <v>8</v>
      </c>
      <c r="G50" s="47">
        <v>8.99</v>
      </c>
      <c r="H50" s="46" cm="1">
        <f t="array" ref="H50">ROUND(G50*IF(OR(MID(A50,5,3)={"BFF","PRK","FPL","LMB","FFI","MET","RIC","FLR","SUG","OIL","DRK","JCE","FEG"}),1.21,IF(OR(MID(A50,5,3)={"FVG","FFR"}),1.33,IF(OR(MID(A50,5,3)={"FBT","FCH","FMK","FYG","MLK","ICE","FRV","FPO","FRF","FCC","BRD"}),1.28,IF(OR(MID(A50,5,3)={"BIS","CRP","HRB","TUR","IND","HYG"}),1.38,1.31)))),2)</f>
        <v>11.51</v>
      </c>
      <c r="I50" s="27">
        <f>(Table1[[#This Row],[SALE PRICE]]-Table1[[#This Row],[COST PRICE]])/Table1[[#This Row],[SALE PRICE]]</f>
        <v>0.21894005212858381</v>
      </c>
      <c r="J50" s="27" t="str">
        <f>IF(Table1[[#This Row],[MARGIN]]&lt;25%, "REVIEW", "OK")</f>
        <v>REVIEW</v>
      </c>
    </row>
    <row r="51" spans="1:10" ht="15.6" x14ac:dyDescent="0.3">
      <c r="A51" s="17" t="s">
        <v>78</v>
      </c>
      <c r="B51" s="12" t="s">
        <v>79</v>
      </c>
      <c r="C51" s="12" t="s">
        <v>1426</v>
      </c>
      <c r="D51" s="10" t="s">
        <v>8</v>
      </c>
      <c r="E51" s="10" t="s">
        <v>8</v>
      </c>
      <c r="F51" s="12" t="s">
        <v>8</v>
      </c>
      <c r="G51" s="46">
        <v>8.49</v>
      </c>
      <c r="H51" s="47" cm="1">
        <f t="array" ref="H51">ROUND(G51*IF(OR(MID(A51,5,3)={"BFF","PRK","FPL","LMB","FFI","MET","RIC","FLR","SUG","OIL","DRK","JCE","FEG"}),1.21,IF(OR(MID(A51,5,3)={"FVG","FFR"}),1.33,IF(OR(MID(A51,5,3)={"FBT","FCH","FMK","FYG","MLK","ICE","FRV","FPO","FRF","FCC","BRD"}),1.28,IF(OR(MID(A51,5,3)={"BIS","CRP","HRB","TUR","IND","HYG"}),1.38,1.31)))),2)</f>
        <v>10.87</v>
      </c>
      <c r="I51" s="29">
        <f>(Table1[[#This Row],[SALE PRICE]]-Table1[[#This Row],[COST PRICE]])/Table1[[#This Row],[SALE PRICE]]</f>
        <v>0.21895124195032192</v>
      </c>
      <c r="J51" s="26" t="str">
        <f>IF(Table1[[#This Row],[MARGIN]]&lt;25%, "REVIEW", "OK")</f>
        <v>REVIEW</v>
      </c>
    </row>
    <row r="52" spans="1:10" ht="15.6" x14ac:dyDescent="0.3">
      <c r="A52" s="18" t="s">
        <v>80</v>
      </c>
      <c r="B52" s="13" t="s">
        <v>81</v>
      </c>
      <c r="C52" s="13" t="s">
        <v>1426</v>
      </c>
      <c r="D52" s="11" t="s">
        <v>8</v>
      </c>
      <c r="E52" s="11" t="s">
        <v>8</v>
      </c>
      <c r="F52" s="13" t="s">
        <v>8</v>
      </c>
      <c r="G52" s="47">
        <v>11.75</v>
      </c>
      <c r="H52" s="46" cm="1">
        <f t="array" ref="H52">ROUND(G52*IF(OR(MID(A52,5,3)={"BFF","PRK","FPL","LMB","FFI","MET","RIC","FLR","SUG","OIL","DRK","JCE","FEG"}),1.21,IF(OR(MID(A52,5,3)={"FVG","FFR"}),1.33,IF(OR(MID(A52,5,3)={"FBT","FCH","FMK","FYG","MLK","ICE","FRV","FPO","FRF","FCC","BRD"}),1.28,IF(OR(MID(A52,5,3)={"BIS","CRP","HRB","TUR","IND","HYG"}),1.38,1.31)))),2)</f>
        <v>15.04</v>
      </c>
      <c r="I52" s="27">
        <f>(Table1[[#This Row],[SALE PRICE]]-Table1[[#This Row],[COST PRICE]])/Table1[[#This Row],[SALE PRICE]]</f>
        <v>0.21874999999999994</v>
      </c>
      <c r="J52" s="27" t="str">
        <f>IF(Table1[[#This Row],[MARGIN]]&lt;25%, "REVIEW", "OK")</f>
        <v>REVIEW</v>
      </c>
    </row>
    <row r="53" spans="1:10" ht="15.6" x14ac:dyDescent="0.3">
      <c r="A53" s="17" t="s">
        <v>82</v>
      </c>
      <c r="B53" s="12" t="s">
        <v>83</v>
      </c>
      <c r="C53" s="12" t="s">
        <v>1426</v>
      </c>
      <c r="D53" s="10" t="s">
        <v>8</v>
      </c>
      <c r="E53" s="10" t="s">
        <v>8</v>
      </c>
      <c r="F53" s="12" t="s">
        <v>8</v>
      </c>
      <c r="G53" s="46">
        <v>23.99</v>
      </c>
      <c r="H53" s="47" cm="1">
        <f t="array" ref="H53">ROUND(G53*IF(OR(MID(A53,5,3)={"BFF","PRK","FPL","LMB","FFI","MET","RIC","FLR","SUG","OIL","DRK","JCE","FEG"}),1.21,IF(OR(MID(A53,5,3)={"FVG","FFR"}),1.33,IF(OR(MID(A53,5,3)={"FBT","FCH","FMK","FYG","MLK","ICE","FRV","FPO","FRF","FCC","BRD"}),1.28,IF(OR(MID(A53,5,3)={"BIS","CRP","HRB","TUR","IND","HYG"}),1.38,1.31)))),2)</f>
        <v>30.71</v>
      </c>
      <c r="I53" s="29">
        <f>(Table1[[#This Row],[SALE PRICE]]-Table1[[#This Row],[COST PRICE]])/Table1[[#This Row],[SALE PRICE]]</f>
        <v>0.21882123086942371</v>
      </c>
      <c r="J53" s="26" t="str">
        <f>IF(Table1[[#This Row],[MARGIN]]&lt;25%, "REVIEW", "OK")</f>
        <v>REVIEW</v>
      </c>
    </row>
    <row r="54" spans="1:10" ht="15.6" x14ac:dyDescent="0.3">
      <c r="A54" s="18" t="s">
        <v>84</v>
      </c>
      <c r="B54" s="13" t="s">
        <v>85</v>
      </c>
      <c r="C54" s="13" t="s">
        <v>1426</v>
      </c>
      <c r="D54" s="11" t="s">
        <v>8</v>
      </c>
      <c r="E54" s="11" t="s">
        <v>8</v>
      </c>
      <c r="F54" s="13" t="s">
        <v>8</v>
      </c>
      <c r="G54" s="47">
        <v>18.690000000000001</v>
      </c>
      <c r="H54" s="46" cm="1">
        <f t="array" ref="H54">ROUND(G54*IF(OR(MID(A54,5,3)={"BFF","PRK","FPL","LMB","FFI","MET","RIC","FLR","SUG","OIL","DRK","JCE","FEG"}),1.21,IF(OR(MID(A54,5,3)={"FVG","FFR"}),1.33,IF(OR(MID(A54,5,3)={"FBT","FCH","FMK","FYG","MLK","ICE","FRV","FPO","FRF","FCC","BRD"}),1.28,IF(OR(MID(A54,5,3)={"BIS","CRP","HRB","TUR","IND","HYG"}),1.38,1.31)))),2)</f>
        <v>23.92</v>
      </c>
      <c r="I54" s="27">
        <f>(Table1[[#This Row],[SALE PRICE]]-Table1[[#This Row],[COST PRICE]])/Table1[[#This Row],[SALE PRICE]]</f>
        <v>0.21864548494983277</v>
      </c>
      <c r="J54" s="27" t="str">
        <f>IF(Table1[[#This Row],[MARGIN]]&lt;25%, "REVIEW", "OK")</f>
        <v>REVIEW</v>
      </c>
    </row>
    <row r="55" spans="1:10" ht="15.6" x14ac:dyDescent="0.3">
      <c r="A55" s="17" t="s">
        <v>86</v>
      </c>
      <c r="B55" s="12" t="s">
        <v>87</v>
      </c>
      <c r="C55" s="12" t="s">
        <v>1426</v>
      </c>
      <c r="D55" s="10" t="s">
        <v>8</v>
      </c>
      <c r="E55" s="10" t="s">
        <v>8</v>
      </c>
      <c r="F55" s="12" t="s">
        <v>8</v>
      </c>
      <c r="G55" s="46">
        <v>26.39</v>
      </c>
      <c r="H55" s="47" cm="1">
        <f t="array" ref="H55">ROUND(G55*IF(OR(MID(A55,5,3)={"BFF","PRK","FPL","LMB","FFI","MET","RIC","FLR","SUG","OIL","DRK","JCE","FEG"}),1.21,IF(OR(MID(A55,5,3)={"FVG","FFR"}),1.33,IF(OR(MID(A55,5,3)={"FBT","FCH","FMK","FYG","MLK","ICE","FRV","FPO","FRF","FCC","BRD"}),1.28,IF(OR(MID(A55,5,3)={"BIS","CRP","HRB","TUR","IND","HYG"}),1.38,1.31)))),2)</f>
        <v>33.78</v>
      </c>
      <c r="I55" s="29">
        <f>(Table1[[#This Row],[SALE PRICE]]-Table1[[#This Row],[COST PRICE]])/Table1[[#This Row],[SALE PRICE]]</f>
        <v>0.21876850207223211</v>
      </c>
      <c r="J55" s="26" t="str">
        <f>IF(Table1[[#This Row],[MARGIN]]&lt;25%, "REVIEW", "OK")</f>
        <v>REVIEW</v>
      </c>
    </row>
    <row r="56" spans="1:10" s="1" customFormat="1" ht="15.6" x14ac:dyDescent="0.3">
      <c r="A56" s="16" t="s">
        <v>88</v>
      </c>
      <c r="B56" s="2" t="s">
        <v>8</v>
      </c>
      <c r="C56" s="2"/>
      <c r="D56" s="2" t="s">
        <v>8</v>
      </c>
      <c r="E56" s="2" t="s">
        <v>8</v>
      </c>
      <c r="F56" s="2" t="s">
        <v>8</v>
      </c>
      <c r="G56" s="48" t="s">
        <v>8</v>
      </c>
      <c r="H56" s="48" t="e" cm="1">
        <f t="array" ref="H56">ROUND(G56*IF(OR(MID(A56,5,3)={"BFF","PRK","FPL","LMB","FFI","MET","RIC","FLR","SUG","OIL","DRK","JCE","FEG"}),1.21,IF(OR(MID(A56,5,3)={"FVG","FFR"}),1.33,IF(OR(MID(A56,5,3)={"FBT","FCH","FMK","FYG","MLK","ICE","FRV","FPO","FRF","FCC","BRD"}),1.28,IF(OR(MID(A56,5,3)={"BIS","CRP","HRB","TUR","IND","HYG"}),1.38,1.31)))),2)</f>
        <v>#VALUE!</v>
      </c>
      <c r="I56" s="19"/>
      <c r="J56" s="19"/>
    </row>
    <row r="57" spans="1:10" ht="15.6" x14ac:dyDescent="0.3">
      <c r="A57" s="18" t="s">
        <v>89</v>
      </c>
      <c r="B57" s="13" t="s">
        <v>90</v>
      </c>
      <c r="C57" s="13" t="s">
        <v>1427</v>
      </c>
      <c r="D57" s="11" t="s">
        <v>8</v>
      </c>
      <c r="E57" s="11" t="s">
        <v>8</v>
      </c>
      <c r="F57" s="13" t="s">
        <v>8</v>
      </c>
      <c r="G57" s="47">
        <v>118.69</v>
      </c>
      <c r="H57" s="47" cm="1">
        <f t="array" ref="H57">ROUND(G57*IF(OR(MID(A57,5,3)={"BFF","PRK","FPL","LMB","FFI","MET","RIC","FLR","SUG","OIL","DRK","JCE","FEG"}),1.21,IF(OR(MID(A57,5,3)={"FVG","FFR"}),1.33,IF(OR(MID(A57,5,3)={"FBT","FCH","FMK","FYG","MLK","ICE","FRV","FPO","FRF","FCC","BRD"}),1.28,IF(OR(MID(A57,5,3)={"BIS","CRP","HRB","TUR","IND","HYG"}),1.38,1.31)))),2)</f>
        <v>155.47999999999999</v>
      </c>
      <c r="I57" s="29">
        <f>(Table1[[#This Row],[SALE PRICE]]-Table1[[#This Row],[COST PRICE]])/Table1[[#This Row],[SALE PRICE]]</f>
        <v>0.23662207357859527</v>
      </c>
      <c r="J57" s="26" t="str">
        <f>IF(Table1[[#This Row],[MARGIN]]&lt;25%, "REVIEW", "OK")</f>
        <v>REVIEW</v>
      </c>
    </row>
    <row r="58" spans="1:10" ht="15.6" x14ac:dyDescent="0.3">
      <c r="A58" s="17" t="s">
        <v>91</v>
      </c>
      <c r="B58" s="12" t="s">
        <v>92</v>
      </c>
      <c r="C58" s="12" t="s">
        <v>1428</v>
      </c>
      <c r="D58" s="10" t="s">
        <v>8</v>
      </c>
      <c r="E58" s="10" t="s">
        <v>8</v>
      </c>
      <c r="F58" s="12" t="s">
        <v>8</v>
      </c>
      <c r="G58" s="46">
        <v>16.489999999999998</v>
      </c>
      <c r="H58" s="46" cm="1">
        <f t="array" ref="H58">ROUND(G58*IF(OR(MID(A58,5,3)={"BFF","PRK","FPL","LMB","FFI","MET","RIC","FLR","SUG","OIL","DRK","JCE","FEG"}),1.21,IF(OR(MID(A58,5,3)={"FVG","FFR"}),1.33,IF(OR(MID(A58,5,3)={"FBT","FCH","FMK","FYG","MLK","ICE","FRV","FPO","FRF","FCC","BRD"}),1.28,IF(OR(MID(A58,5,3)={"BIS","CRP","HRB","TUR","IND","HYG"}),1.38,1.31)))),2)</f>
        <v>21.6</v>
      </c>
      <c r="I58" s="27">
        <f>(Table1[[#This Row],[SALE PRICE]]-Table1[[#This Row],[COST PRICE]])/Table1[[#This Row],[SALE PRICE]]</f>
        <v>0.23657407407407419</v>
      </c>
      <c r="J58" s="27" t="str">
        <f>IF(Table1[[#This Row],[MARGIN]]&lt;25%, "REVIEW", "OK")</f>
        <v>REVIEW</v>
      </c>
    </row>
    <row r="59" spans="1:10" ht="15.6" x14ac:dyDescent="0.3">
      <c r="A59" s="18" t="s">
        <v>93</v>
      </c>
      <c r="B59" s="13" t="s">
        <v>94</v>
      </c>
      <c r="C59" s="13" t="s">
        <v>1427</v>
      </c>
      <c r="D59" s="11" t="s">
        <v>8</v>
      </c>
      <c r="E59" s="11" t="s">
        <v>8</v>
      </c>
      <c r="F59" s="13" t="s">
        <v>8</v>
      </c>
      <c r="G59" s="47">
        <v>78.989999999999995</v>
      </c>
      <c r="H59" s="47" cm="1">
        <f t="array" ref="H59">ROUND(G59*IF(OR(MID(A59,5,3)={"BFF","PRK","FPL","LMB","FFI","MET","RIC","FLR","SUG","OIL","DRK","JCE","FEG"}),1.21,IF(OR(MID(A59,5,3)={"FVG","FFR"}),1.33,IF(OR(MID(A59,5,3)={"FBT","FCH","FMK","FYG","MLK","ICE","FRV","FPO","FRF","FCC","BRD"}),1.28,IF(OR(MID(A59,5,3)={"BIS","CRP","HRB","TUR","IND","HYG"}),1.38,1.31)))),2)</f>
        <v>103.48</v>
      </c>
      <c r="I59" s="29">
        <f>(Table1[[#This Row],[SALE PRICE]]-Table1[[#This Row],[COST PRICE]])/Table1[[#This Row],[SALE PRICE]]</f>
        <v>0.23666408967916513</v>
      </c>
      <c r="J59" s="26" t="str">
        <f>IF(Table1[[#This Row],[MARGIN]]&lt;25%, "REVIEW", "OK")</f>
        <v>REVIEW</v>
      </c>
    </row>
    <row r="60" spans="1:10" ht="15.6" x14ac:dyDescent="0.3">
      <c r="A60" s="17" t="s">
        <v>95</v>
      </c>
      <c r="B60" s="12" t="s">
        <v>96</v>
      </c>
      <c r="C60" s="12" t="s">
        <v>1429</v>
      </c>
      <c r="D60" s="10" t="s">
        <v>8</v>
      </c>
      <c r="E60" s="10" t="s">
        <v>8</v>
      </c>
      <c r="F60" s="12" t="s">
        <v>8</v>
      </c>
      <c r="G60" s="46">
        <v>10.99</v>
      </c>
      <c r="H60" s="46" cm="1">
        <f t="array" ref="H60">ROUND(G60*IF(OR(MID(A60,5,3)={"BFF","PRK","FPL","LMB","FFI","MET","RIC","FLR","SUG","OIL","DRK","JCE","FEG"}),1.21,IF(OR(MID(A60,5,3)={"FVG","FFR"}),1.33,IF(OR(MID(A60,5,3)={"FBT","FCH","FMK","FYG","MLK","ICE","FRV","FPO","FRF","FCC","BRD"}),1.28,IF(OR(MID(A60,5,3)={"BIS","CRP","HRB","TUR","IND","HYG"}),1.38,1.31)))),2)</f>
        <v>14.4</v>
      </c>
      <c r="I60" s="27">
        <f>(Table1[[#This Row],[SALE PRICE]]-Table1[[#This Row],[COST PRICE]])/Table1[[#This Row],[SALE PRICE]]</f>
        <v>0.23680555555555555</v>
      </c>
      <c r="J60" s="27" t="str">
        <f>IF(Table1[[#This Row],[MARGIN]]&lt;25%, "REVIEW", "OK")</f>
        <v>REVIEW</v>
      </c>
    </row>
    <row r="61" spans="1:10" ht="15.6" x14ac:dyDescent="0.3">
      <c r="A61" s="18" t="s">
        <v>97</v>
      </c>
      <c r="B61" s="13" t="s">
        <v>98</v>
      </c>
      <c r="C61" s="13" t="s">
        <v>1429</v>
      </c>
      <c r="D61" s="11" t="s">
        <v>8</v>
      </c>
      <c r="E61" s="11" t="s">
        <v>8</v>
      </c>
      <c r="F61" s="13" t="s">
        <v>8</v>
      </c>
      <c r="G61" s="47">
        <v>28.99</v>
      </c>
      <c r="H61" s="47" cm="1">
        <f t="array" ref="H61">ROUND(G61*IF(OR(MID(A61,5,3)={"BFF","PRK","FPL","LMB","FFI","MET","RIC","FLR","SUG","OIL","DRK","JCE","FEG"}),1.21,IF(OR(MID(A61,5,3)={"FVG","FFR"}),1.33,IF(OR(MID(A61,5,3)={"FBT","FCH","FMK","FYG","MLK","ICE","FRV","FPO","FRF","FCC","BRD"}),1.28,IF(OR(MID(A61,5,3)={"BIS","CRP","HRB","TUR","IND","HYG"}),1.38,1.31)))),2)</f>
        <v>37.979999999999997</v>
      </c>
      <c r="I61" s="29">
        <f>(Table1[[#This Row],[SALE PRICE]]-Table1[[#This Row],[COST PRICE]])/Table1[[#This Row],[SALE PRICE]]</f>
        <v>0.23670352817272247</v>
      </c>
      <c r="J61" s="26" t="str">
        <f>IF(Table1[[#This Row],[MARGIN]]&lt;25%, "REVIEW", "OK")</f>
        <v>REVIEW</v>
      </c>
    </row>
    <row r="62" spans="1:10" ht="15.6" x14ac:dyDescent="0.3">
      <c r="A62" s="17" t="s">
        <v>99</v>
      </c>
      <c r="B62" s="12" t="s">
        <v>100</v>
      </c>
      <c r="C62" s="12" t="s">
        <v>1427</v>
      </c>
      <c r="D62" s="10" t="s">
        <v>8</v>
      </c>
      <c r="E62" s="10" t="s">
        <v>8</v>
      </c>
      <c r="F62" s="12" t="s">
        <v>8</v>
      </c>
      <c r="G62" s="46">
        <v>31.99</v>
      </c>
      <c r="H62" s="46" cm="1">
        <f t="array" ref="H62">ROUND(G62*IF(OR(MID(A62,5,3)={"BFF","PRK","FPL","LMB","FFI","MET","RIC","FLR","SUG","OIL","DRK","JCE","FEG"}),1.21,IF(OR(MID(A62,5,3)={"FVG","FFR"}),1.33,IF(OR(MID(A62,5,3)={"FBT","FCH","FMK","FYG","MLK","ICE","FRV","FPO","FRF","FCC","BRD"}),1.28,IF(OR(MID(A62,5,3)={"BIS","CRP","HRB","TUR","IND","HYG"}),1.38,1.31)))),2)</f>
        <v>41.91</v>
      </c>
      <c r="I62" s="27">
        <f>(Table1[[#This Row],[SALE PRICE]]-Table1[[#This Row],[COST PRICE]])/Table1[[#This Row],[SALE PRICE]]</f>
        <v>0.23669768551658313</v>
      </c>
      <c r="J62" s="27" t="str">
        <f>IF(Table1[[#This Row],[MARGIN]]&lt;25%, "REVIEW", "OK")</f>
        <v>REVIEW</v>
      </c>
    </row>
    <row r="63" spans="1:10" ht="15.6" x14ac:dyDescent="0.3">
      <c r="A63" s="18" t="s">
        <v>101</v>
      </c>
      <c r="B63" s="13" t="s">
        <v>102</v>
      </c>
      <c r="C63" s="13" t="s">
        <v>1430</v>
      </c>
      <c r="D63" s="11" t="s">
        <v>8</v>
      </c>
      <c r="E63" s="11" t="s">
        <v>8</v>
      </c>
      <c r="F63" s="13" t="s">
        <v>8</v>
      </c>
      <c r="G63" s="47">
        <v>16.989999999999998</v>
      </c>
      <c r="H63" s="47" cm="1">
        <f t="array" ref="H63">ROUND(G63*IF(OR(MID(A63,5,3)={"BFF","PRK","FPL","LMB","FFI","MET","RIC","FLR","SUG","OIL","DRK","JCE","FEG"}),1.21,IF(OR(MID(A63,5,3)={"FVG","FFR"}),1.33,IF(OR(MID(A63,5,3)={"FBT","FCH","FMK","FYG","MLK","ICE","FRV","FPO","FRF","FCC","BRD"}),1.28,IF(OR(MID(A63,5,3)={"BIS","CRP","HRB","TUR","IND","HYG"}),1.38,1.31)))),2)</f>
        <v>22.26</v>
      </c>
      <c r="I63" s="29">
        <f>(Table1[[#This Row],[SALE PRICE]]-Table1[[#This Row],[COST PRICE]])/Table1[[#This Row],[SALE PRICE]]</f>
        <v>0.23674752920035952</v>
      </c>
      <c r="J63" s="26" t="str">
        <f>IF(Table1[[#This Row],[MARGIN]]&lt;25%, "REVIEW", "OK")</f>
        <v>REVIEW</v>
      </c>
    </row>
    <row r="64" spans="1:10" ht="15.6" x14ac:dyDescent="0.3">
      <c r="A64" s="17" t="s">
        <v>103</v>
      </c>
      <c r="B64" s="12" t="s">
        <v>104</v>
      </c>
      <c r="C64" s="12" t="s">
        <v>1430</v>
      </c>
      <c r="D64" s="10" t="s">
        <v>8</v>
      </c>
      <c r="E64" s="10" t="s">
        <v>8</v>
      </c>
      <c r="F64" s="12" t="s">
        <v>8</v>
      </c>
      <c r="G64" s="46">
        <v>29.99</v>
      </c>
      <c r="H64" s="46" cm="1">
        <f t="array" ref="H64">ROUND(G64*IF(OR(MID(A64,5,3)={"BFF","PRK","FPL","LMB","FFI","MET","RIC","FLR","SUG","OIL","DRK","JCE","FEG"}),1.21,IF(OR(MID(A64,5,3)={"FVG","FFR"}),1.33,IF(OR(MID(A64,5,3)={"FBT","FCH","FMK","FYG","MLK","ICE","FRV","FPO","FRF","FCC","BRD"}),1.28,IF(OR(MID(A64,5,3)={"BIS","CRP","HRB","TUR","IND","HYG"}),1.38,1.31)))),2)</f>
        <v>39.29</v>
      </c>
      <c r="I64" s="27">
        <f>(Table1[[#This Row],[SALE PRICE]]-Table1[[#This Row],[COST PRICE]])/Table1[[#This Row],[SALE PRICE]]</f>
        <v>0.23670145075082721</v>
      </c>
      <c r="J64" s="27" t="str">
        <f>IF(Table1[[#This Row],[MARGIN]]&lt;25%, "REVIEW", "OK")</f>
        <v>REVIEW</v>
      </c>
    </row>
    <row r="65" spans="1:10" ht="15.6" x14ac:dyDescent="0.3">
      <c r="A65" s="18" t="s">
        <v>105</v>
      </c>
      <c r="B65" s="13" t="s">
        <v>106</v>
      </c>
      <c r="C65" s="13" t="s">
        <v>1430</v>
      </c>
      <c r="D65" s="11" t="s">
        <v>8</v>
      </c>
      <c r="E65" s="11" t="s">
        <v>8</v>
      </c>
      <c r="F65" s="13" t="s">
        <v>8</v>
      </c>
      <c r="G65" s="47">
        <v>17.489999999999998</v>
      </c>
      <c r="H65" s="47" cm="1">
        <f t="array" ref="H65">ROUND(G65*IF(OR(MID(A65,5,3)={"BFF","PRK","FPL","LMB","FFI","MET","RIC","FLR","SUG","OIL","DRK","JCE","FEG"}),1.21,IF(OR(MID(A65,5,3)={"FVG","FFR"}),1.33,IF(OR(MID(A65,5,3)={"FBT","FCH","FMK","FYG","MLK","ICE","FRV","FPO","FRF","FCC","BRD"}),1.28,IF(OR(MID(A65,5,3)={"BIS","CRP","HRB","TUR","IND","HYG"}),1.38,1.31)))),2)</f>
        <v>22.91</v>
      </c>
      <c r="I65" s="29">
        <f>(Table1[[#This Row],[SALE PRICE]]-Table1[[#This Row],[COST PRICE]])/Table1[[#This Row],[SALE PRICE]]</f>
        <v>0.23657791357485822</v>
      </c>
      <c r="J65" s="26" t="str">
        <f>IF(Table1[[#This Row],[MARGIN]]&lt;25%, "REVIEW", "OK")</f>
        <v>REVIEW</v>
      </c>
    </row>
    <row r="66" spans="1:10" ht="15.6" x14ac:dyDescent="0.3">
      <c r="A66" s="17" t="s">
        <v>107</v>
      </c>
      <c r="B66" s="12" t="s">
        <v>108</v>
      </c>
      <c r="C66" s="12" t="s">
        <v>1430</v>
      </c>
      <c r="D66" s="10" t="s">
        <v>8</v>
      </c>
      <c r="E66" s="10" t="s">
        <v>8</v>
      </c>
      <c r="F66" s="12" t="s">
        <v>8</v>
      </c>
      <c r="G66" s="46">
        <v>9.99</v>
      </c>
      <c r="H66" s="46" cm="1">
        <f t="array" ref="H66">ROUND(G66*IF(OR(MID(A66,5,3)={"BFF","PRK","FPL","LMB","FFI","MET","RIC","FLR","SUG","OIL","DRK","JCE","FEG"}),1.21,IF(OR(MID(A66,5,3)={"FVG","FFR"}),1.33,IF(OR(MID(A66,5,3)={"FBT","FCH","FMK","FYG","MLK","ICE","FRV","FPO","FRF","FCC","BRD"}),1.28,IF(OR(MID(A66,5,3)={"BIS","CRP","HRB","TUR","IND","HYG"}),1.38,1.31)))),2)</f>
        <v>13.09</v>
      </c>
      <c r="I66" s="27">
        <f>(Table1[[#This Row],[SALE PRICE]]-Table1[[#This Row],[COST PRICE]])/Table1[[#This Row],[SALE PRICE]]</f>
        <v>0.23682200152788385</v>
      </c>
      <c r="J66" s="27" t="str">
        <f>IF(Table1[[#This Row],[MARGIN]]&lt;25%, "REVIEW", "OK")</f>
        <v>REVIEW</v>
      </c>
    </row>
    <row r="67" spans="1:10" ht="15.6" x14ac:dyDescent="0.3">
      <c r="A67" s="18" t="s">
        <v>109</v>
      </c>
      <c r="B67" s="13" t="s">
        <v>110</v>
      </c>
      <c r="C67" s="13" t="s">
        <v>1430</v>
      </c>
      <c r="D67" s="11" t="s">
        <v>8</v>
      </c>
      <c r="E67" s="11" t="s">
        <v>8</v>
      </c>
      <c r="F67" s="13" t="s">
        <v>8</v>
      </c>
      <c r="G67" s="47">
        <v>6.49</v>
      </c>
      <c r="H67" s="47" cm="1">
        <f t="array" ref="H67">ROUND(G67*IF(OR(MID(A67,5,3)={"BFF","PRK","FPL","LMB","FFI","MET","RIC","FLR","SUG","OIL","DRK","JCE","FEG"}),1.21,IF(OR(MID(A67,5,3)={"FVG","FFR"}),1.33,IF(OR(MID(A67,5,3)={"FBT","FCH","FMK","FYG","MLK","ICE","FRV","FPO","FRF","FCC","BRD"}),1.28,IF(OR(MID(A67,5,3)={"BIS","CRP","HRB","TUR","IND","HYG"}),1.38,1.31)))),2)</f>
        <v>8.5</v>
      </c>
      <c r="I67" s="29">
        <f>(Table1[[#This Row],[SALE PRICE]]-Table1[[#This Row],[COST PRICE]])/Table1[[#This Row],[SALE PRICE]]</f>
        <v>0.2364705882352941</v>
      </c>
      <c r="J67" s="26" t="str">
        <f>IF(Table1[[#This Row],[MARGIN]]&lt;25%, "REVIEW", "OK")</f>
        <v>REVIEW</v>
      </c>
    </row>
    <row r="68" spans="1:10" ht="15.6" x14ac:dyDescent="0.3">
      <c r="A68" s="18" t="s">
        <v>111</v>
      </c>
      <c r="B68" s="13" t="s">
        <v>1188</v>
      </c>
      <c r="C68" s="13" t="s">
        <v>1430</v>
      </c>
      <c r="D68" s="11"/>
      <c r="E68" s="11"/>
      <c r="F68" s="13"/>
      <c r="G68" s="47">
        <v>7.49</v>
      </c>
      <c r="H68" s="46" cm="1">
        <f t="array" ref="H68">ROUND(G68*IF(OR(MID(A68,5,3)={"BFF","PRK","FPL","LMB","FFI","MET","RIC","FLR","SUG","OIL","DRK","JCE","FEG"}),1.21,IF(OR(MID(A68,5,3)={"FVG","FFR"}),1.33,IF(OR(MID(A68,5,3)={"FBT","FCH","FMK","FYG","MLK","ICE","FRV","FPO","FRF","FCC","BRD"}),1.28,IF(OR(MID(A68,5,3)={"BIS","CRP","HRB","TUR","IND","HYG"}),1.38,1.31)))),2)</f>
        <v>9.81</v>
      </c>
      <c r="I68" s="27">
        <f>(Table1[[#This Row],[SALE PRICE]]-Table1[[#This Row],[COST PRICE]])/Table1[[#This Row],[SALE PRICE]]</f>
        <v>0.23649337410805302</v>
      </c>
      <c r="J68" s="27" t="str">
        <f>IF(Table1[[#This Row],[MARGIN]]&lt;25%, "REVIEW", "OK")</f>
        <v>REVIEW</v>
      </c>
    </row>
    <row r="69" spans="1:10" ht="15.6" x14ac:dyDescent="0.3">
      <c r="A69" s="18" t="s">
        <v>113</v>
      </c>
      <c r="B69" s="12" t="s">
        <v>112</v>
      </c>
      <c r="C69" s="12" t="s">
        <v>1430</v>
      </c>
      <c r="D69" s="10" t="s">
        <v>8</v>
      </c>
      <c r="E69" s="10" t="s">
        <v>8</v>
      </c>
      <c r="F69" s="12" t="s">
        <v>8</v>
      </c>
      <c r="G69" s="46">
        <v>6.59</v>
      </c>
      <c r="H69" s="47" cm="1">
        <f t="array" ref="H69">ROUND(G69*IF(OR(MID(A69,5,3)={"BFF","PRK","FPL","LMB","FFI","MET","RIC","FLR","SUG","OIL","DRK","JCE","FEG"}),1.21,IF(OR(MID(A69,5,3)={"FVG","FFR"}),1.33,IF(OR(MID(A69,5,3)={"FBT","FCH","FMK","FYG","MLK","ICE","FRV","FPO","FRF","FCC","BRD"}),1.28,IF(OR(MID(A69,5,3)={"BIS","CRP","HRB","TUR","IND","HYG"}),1.38,1.31)))),2)</f>
        <v>8.6300000000000008</v>
      </c>
      <c r="I69" s="29">
        <f>(Table1[[#This Row],[SALE PRICE]]-Table1[[#This Row],[COST PRICE]])/Table1[[#This Row],[SALE PRICE]]</f>
        <v>0.23638470451911944</v>
      </c>
      <c r="J69" s="26" t="str">
        <f>IF(Table1[[#This Row],[MARGIN]]&lt;25%, "REVIEW", "OK")</f>
        <v>REVIEW</v>
      </c>
    </row>
    <row r="70" spans="1:10" ht="15.6" x14ac:dyDescent="0.3">
      <c r="A70" s="18" t="s">
        <v>1189</v>
      </c>
      <c r="B70" s="13" t="s">
        <v>114</v>
      </c>
      <c r="C70" s="13" t="s">
        <v>1430</v>
      </c>
      <c r="D70" s="11" t="s">
        <v>8</v>
      </c>
      <c r="E70" s="11" t="s">
        <v>8</v>
      </c>
      <c r="F70" s="13" t="s">
        <v>8</v>
      </c>
      <c r="G70" s="47">
        <v>9.99</v>
      </c>
      <c r="H70" s="46" cm="1">
        <f t="array" ref="H70">ROUND(G70*IF(OR(MID(A70,5,3)={"BFF","PRK","FPL","LMB","FFI","MET","RIC","FLR","SUG","OIL","DRK","JCE","FEG"}),1.21,IF(OR(MID(A70,5,3)={"FVG","FFR"}),1.33,IF(OR(MID(A70,5,3)={"FBT","FCH","FMK","FYG","MLK","ICE","FRV","FPO","FRF","FCC","BRD"}),1.28,IF(OR(MID(A70,5,3)={"BIS","CRP","HRB","TUR","IND","HYG"}),1.38,1.31)))),2)</f>
        <v>13.09</v>
      </c>
      <c r="I70" s="27">
        <f>(Table1[[#This Row],[SALE PRICE]]-Table1[[#This Row],[COST PRICE]])/Table1[[#This Row],[SALE PRICE]]</f>
        <v>0.23682200152788385</v>
      </c>
      <c r="J70" s="27" t="str">
        <f>IF(Table1[[#This Row],[MARGIN]]&lt;25%, "REVIEW", "OK")</f>
        <v>REVIEW</v>
      </c>
    </row>
    <row r="71" spans="1:10" s="1" customFormat="1" ht="31.2" x14ac:dyDescent="0.3">
      <c r="A71" s="16" t="s">
        <v>115</v>
      </c>
      <c r="B71" s="2" t="s">
        <v>8</v>
      </c>
      <c r="C71" s="2"/>
      <c r="D71" s="2" t="s">
        <v>8</v>
      </c>
      <c r="E71" s="2" t="s">
        <v>8</v>
      </c>
      <c r="F71" s="2" t="s">
        <v>8</v>
      </c>
      <c r="G71" s="48" t="s">
        <v>8</v>
      </c>
      <c r="H71" s="48" t="e" cm="1">
        <f t="array" ref="H71">ROUND(G71*IF(OR(MID(A71,5,3)={"BFF","PRK","FPL","LMB","FFI","MET","RIC","FLR","SUG","OIL","DRK","JCE","FEG"}),1.21,IF(OR(MID(A71,5,3)={"FVG","FFR"}),1.33,IF(OR(MID(A71,5,3)={"FBT","FCH","FMK","FYG","MLK","ICE","FRV","FPO","FRF","FCC","BRD"}),1.28,IF(OR(MID(A71,5,3)={"BIS","CRP","HRB","TUR","IND","HYG"}),1.38,1.31)))),2)</f>
        <v>#VALUE!</v>
      </c>
      <c r="I71" s="19"/>
      <c r="J71" s="19"/>
    </row>
    <row r="72" spans="1:10" ht="15.6" x14ac:dyDescent="0.3">
      <c r="A72" s="17" t="s">
        <v>116</v>
      </c>
      <c r="B72" s="12" t="s">
        <v>117</v>
      </c>
      <c r="C72" s="12" t="s">
        <v>1427</v>
      </c>
      <c r="D72" s="10" t="s">
        <v>8</v>
      </c>
      <c r="E72" s="10" t="s">
        <v>8</v>
      </c>
      <c r="F72" s="12" t="s">
        <v>8</v>
      </c>
      <c r="G72" s="46">
        <v>8.89</v>
      </c>
      <c r="H72" s="46" cm="1">
        <f t="array" ref="H72">ROUND(G72*IF(OR(MID(A72,5,3)={"BFF","PRK","FPL","LMB","FFI","MET","RIC","FLR","SUG","OIL","DRK","JCE","FEG"}),1.21,IF(OR(MID(A72,5,3)={"FVG","FFR"}),1.33,IF(OR(MID(A72,5,3)={"FBT","FCH","FMK","FYG","MLK","ICE","FRV","FPO","FRF","FCC","BRD"}),1.28,IF(OR(MID(A72,5,3)={"BIS","CRP","HRB","TUR","IND","HYG"}),1.38,1.31)))),2)</f>
        <v>11.65</v>
      </c>
      <c r="I72" s="27">
        <f>(Table1[[#This Row],[SALE PRICE]]-Table1[[#This Row],[COST PRICE]])/Table1[[#This Row],[SALE PRICE]]</f>
        <v>0.23690987124463517</v>
      </c>
      <c r="J72" s="27" t="str">
        <f>IF(Table1[[#This Row],[MARGIN]]&lt;25%, "REVIEW", "OK")</f>
        <v>REVIEW</v>
      </c>
    </row>
    <row r="73" spans="1:10" ht="15.6" x14ac:dyDescent="0.3">
      <c r="A73" s="18" t="s">
        <v>118</v>
      </c>
      <c r="B73" s="13" t="s">
        <v>119</v>
      </c>
      <c r="C73" s="13" t="s">
        <v>1427</v>
      </c>
      <c r="D73" s="11" t="s">
        <v>8</v>
      </c>
      <c r="E73" s="11" t="s">
        <v>8</v>
      </c>
      <c r="F73" s="13" t="s">
        <v>8</v>
      </c>
      <c r="G73" s="47">
        <v>16.989999999999998</v>
      </c>
      <c r="H73" s="47" cm="1">
        <f t="array" ref="H73">ROUND(G73*IF(OR(MID(A73,5,3)={"BFF","PRK","FPL","LMB","FFI","MET","RIC","FLR","SUG","OIL","DRK","JCE","FEG"}),1.21,IF(OR(MID(A73,5,3)={"FVG","FFR"}),1.33,IF(OR(MID(A73,5,3)={"FBT","FCH","FMK","FYG","MLK","ICE","FRV","FPO","FRF","FCC","BRD"}),1.28,IF(OR(MID(A73,5,3)={"BIS","CRP","HRB","TUR","IND","HYG"}),1.38,1.31)))),2)</f>
        <v>22.26</v>
      </c>
      <c r="I73" s="29">
        <f>(Table1[[#This Row],[SALE PRICE]]-Table1[[#This Row],[COST PRICE]])/Table1[[#This Row],[SALE PRICE]]</f>
        <v>0.23674752920035952</v>
      </c>
      <c r="J73" s="26" t="str">
        <f>IF(Table1[[#This Row],[MARGIN]]&lt;25%, "REVIEW", "OK")</f>
        <v>REVIEW</v>
      </c>
    </row>
    <row r="74" spans="1:10" ht="15.6" x14ac:dyDescent="0.3">
      <c r="A74" s="17" t="s">
        <v>120</v>
      </c>
      <c r="B74" s="12" t="s">
        <v>121</v>
      </c>
      <c r="C74" s="12" t="s">
        <v>1427</v>
      </c>
      <c r="D74" s="10" t="s">
        <v>8</v>
      </c>
      <c r="E74" s="10" t="s">
        <v>8</v>
      </c>
      <c r="F74" s="12" t="s">
        <v>8</v>
      </c>
      <c r="G74" s="46">
        <v>5.75</v>
      </c>
      <c r="H74" s="46" cm="1">
        <f t="array" ref="H74">ROUND(G74*IF(OR(MID(A74,5,3)={"BFF","PRK","FPL","LMB","FFI","MET","RIC","FLR","SUG","OIL","DRK","JCE","FEG"}),1.21,IF(OR(MID(A74,5,3)={"FVG","FFR"}),1.33,IF(OR(MID(A74,5,3)={"FBT","FCH","FMK","FYG","MLK","ICE","FRV","FPO","FRF","FCC","BRD"}),1.28,IF(OR(MID(A74,5,3)={"BIS","CRP","HRB","TUR","IND","HYG"}),1.38,1.31)))),2)</f>
        <v>7.53</v>
      </c>
      <c r="I74" s="27">
        <f>(Table1[[#This Row],[SALE PRICE]]-Table1[[#This Row],[COST PRICE]])/Table1[[#This Row],[SALE PRICE]]</f>
        <v>0.23638778220451528</v>
      </c>
      <c r="J74" s="27" t="str">
        <f>IF(Table1[[#This Row],[MARGIN]]&lt;25%, "REVIEW", "OK")</f>
        <v>REVIEW</v>
      </c>
    </row>
    <row r="75" spans="1:10" ht="15.6" x14ac:dyDescent="0.3">
      <c r="A75" s="18" t="s">
        <v>122</v>
      </c>
      <c r="B75" s="13" t="s">
        <v>123</v>
      </c>
      <c r="C75" s="13" t="s">
        <v>1427</v>
      </c>
      <c r="D75" s="11" t="s">
        <v>8</v>
      </c>
      <c r="E75" s="11" t="s">
        <v>8</v>
      </c>
      <c r="F75" s="13" t="s">
        <v>8</v>
      </c>
      <c r="G75" s="47">
        <v>22.99</v>
      </c>
      <c r="H75" s="47" cm="1">
        <f t="array" ref="H75">ROUND(G75*IF(OR(MID(A75,5,3)={"BFF","PRK","FPL","LMB","FFI","MET","RIC","FLR","SUG","OIL","DRK","JCE","FEG"}),1.21,IF(OR(MID(A75,5,3)={"FVG","FFR"}),1.33,IF(OR(MID(A75,5,3)={"FBT","FCH","FMK","FYG","MLK","ICE","FRV","FPO","FRF","FCC","BRD"}),1.28,IF(OR(MID(A75,5,3)={"BIS","CRP","HRB","TUR","IND","HYG"}),1.38,1.31)))),2)</f>
        <v>30.12</v>
      </c>
      <c r="I75" s="29">
        <f>(Table1[[#This Row],[SALE PRICE]]-Table1[[#This Row],[COST PRICE]])/Table1[[#This Row],[SALE PRICE]]</f>
        <v>0.23671978751660033</v>
      </c>
      <c r="J75" s="26" t="str">
        <f>IF(Table1[[#This Row],[MARGIN]]&lt;25%, "REVIEW", "OK")</f>
        <v>REVIEW</v>
      </c>
    </row>
    <row r="76" spans="1:10" ht="15.6" x14ac:dyDescent="0.3">
      <c r="A76" s="17" t="s">
        <v>124</v>
      </c>
      <c r="B76" s="12" t="s">
        <v>125</v>
      </c>
      <c r="C76" s="12" t="s">
        <v>1427</v>
      </c>
      <c r="D76" s="10" t="s">
        <v>8</v>
      </c>
      <c r="E76" s="10" t="s">
        <v>8</v>
      </c>
      <c r="F76" s="12" t="s">
        <v>8</v>
      </c>
      <c r="G76" s="46">
        <v>11.59</v>
      </c>
      <c r="H76" s="46" cm="1">
        <f t="array" ref="H76">ROUND(G76*IF(OR(MID(A76,5,3)={"BFF","PRK","FPL","LMB","FFI","MET","RIC","FLR","SUG","OIL","DRK","JCE","FEG"}),1.21,IF(OR(MID(A76,5,3)={"FVG","FFR"}),1.33,IF(OR(MID(A76,5,3)={"FBT","FCH","FMK","FYG","MLK","ICE","FRV","FPO","FRF","FCC","BRD"}),1.28,IF(OR(MID(A76,5,3)={"BIS","CRP","HRB","TUR","IND","HYG"}),1.38,1.31)))),2)</f>
        <v>15.18</v>
      </c>
      <c r="I76" s="27">
        <f>(Table1[[#This Row],[SALE PRICE]]-Table1[[#This Row],[COST PRICE]])/Table1[[#This Row],[SALE PRICE]]</f>
        <v>0.2364953886693017</v>
      </c>
      <c r="J76" s="27" t="str">
        <f>IF(Table1[[#This Row],[MARGIN]]&lt;25%, "REVIEW", "OK")</f>
        <v>REVIEW</v>
      </c>
    </row>
    <row r="77" spans="1:10" ht="15.6" x14ac:dyDescent="0.3">
      <c r="A77" s="18" t="s">
        <v>126</v>
      </c>
      <c r="B77" s="13" t="s">
        <v>127</v>
      </c>
      <c r="C77" s="13" t="s">
        <v>1427</v>
      </c>
      <c r="D77" s="11" t="s">
        <v>8</v>
      </c>
      <c r="E77" s="11" t="s">
        <v>8</v>
      </c>
      <c r="F77" s="13" t="s">
        <v>8</v>
      </c>
      <c r="G77" s="47">
        <v>11.59</v>
      </c>
      <c r="H77" s="47" cm="1">
        <f t="array" ref="H77">ROUND(G77*IF(OR(MID(A77,5,3)={"BFF","PRK","FPL","LMB","FFI","MET","RIC","FLR","SUG","OIL","DRK","JCE","FEG"}),1.21,IF(OR(MID(A77,5,3)={"FVG","FFR"}),1.33,IF(OR(MID(A77,5,3)={"FBT","FCH","FMK","FYG","MLK","ICE","FRV","FPO","FRF","FCC","BRD"}),1.28,IF(OR(MID(A77,5,3)={"BIS","CRP","HRB","TUR","IND","HYG"}),1.38,1.31)))),2)</f>
        <v>15.18</v>
      </c>
      <c r="I77" s="29">
        <f>(Table1[[#This Row],[SALE PRICE]]-Table1[[#This Row],[COST PRICE]])/Table1[[#This Row],[SALE PRICE]]</f>
        <v>0.2364953886693017</v>
      </c>
      <c r="J77" s="26" t="str">
        <f>IF(Table1[[#This Row],[MARGIN]]&lt;25%, "REVIEW", "OK")</f>
        <v>REVIEW</v>
      </c>
    </row>
    <row r="78" spans="1:10" ht="15.6" x14ac:dyDescent="0.3">
      <c r="A78" s="17" t="s">
        <v>128</v>
      </c>
      <c r="B78" s="12" t="s">
        <v>127</v>
      </c>
      <c r="C78" s="12" t="s">
        <v>1427</v>
      </c>
      <c r="D78" s="10" t="s">
        <v>8</v>
      </c>
      <c r="E78" s="10" t="s">
        <v>8</v>
      </c>
      <c r="F78" s="12" t="s">
        <v>8</v>
      </c>
      <c r="G78" s="46">
        <v>8.49</v>
      </c>
      <c r="H78" s="46" cm="1">
        <f t="array" ref="H78">ROUND(G78*IF(OR(MID(A78,5,3)={"BFF","PRK","FPL","LMB","FFI","MET","RIC","FLR","SUG","OIL","DRK","JCE","FEG"}),1.21,IF(OR(MID(A78,5,3)={"FVG","FFR"}),1.33,IF(OR(MID(A78,5,3)={"FBT","FCH","FMK","FYG","MLK","ICE","FRV","FPO","FRF","FCC","BRD"}),1.28,IF(OR(MID(A78,5,3)={"BIS","CRP","HRB","TUR","IND","HYG"}),1.38,1.31)))),2)</f>
        <v>11.12</v>
      </c>
      <c r="I78" s="27">
        <f>(Table1[[#This Row],[SALE PRICE]]-Table1[[#This Row],[COST PRICE]])/Table1[[#This Row],[SALE PRICE]]</f>
        <v>0.23651079136690639</v>
      </c>
      <c r="J78" s="27" t="str">
        <f>IF(Table1[[#This Row],[MARGIN]]&lt;25%, "REVIEW", "OK")</f>
        <v>REVIEW</v>
      </c>
    </row>
    <row r="79" spans="1:10" ht="15.6" x14ac:dyDescent="0.3">
      <c r="A79" s="18" t="s">
        <v>129</v>
      </c>
      <c r="B79" s="13" t="s">
        <v>130</v>
      </c>
      <c r="C79" s="13" t="s">
        <v>1427</v>
      </c>
      <c r="D79" s="11" t="s">
        <v>8</v>
      </c>
      <c r="E79" s="11" t="s">
        <v>8</v>
      </c>
      <c r="F79" s="13" t="s">
        <v>8</v>
      </c>
      <c r="G79" s="47">
        <v>7.09</v>
      </c>
      <c r="H79" s="47" cm="1">
        <f t="array" ref="H79">ROUND(G79*IF(OR(MID(A79,5,3)={"BFF","PRK","FPL","LMB","FFI","MET","RIC","FLR","SUG","OIL","DRK","JCE","FEG"}),1.21,IF(OR(MID(A79,5,3)={"FVG","FFR"}),1.33,IF(OR(MID(A79,5,3)={"FBT","FCH","FMK","FYG","MLK","ICE","FRV","FPO","FRF","FCC","BRD"}),1.28,IF(OR(MID(A79,5,3)={"BIS","CRP","HRB","TUR","IND","HYG"}),1.38,1.31)))),2)</f>
        <v>9.2899999999999991</v>
      </c>
      <c r="I79" s="29">
        <f>(Table1[[#This Row],[SALE PRICE]]-Table1[[#This Row],[COST PRICE]])/Table1[[#This Row],[SALE PRICE]]</f>
        <v>0.23681377825618941</v>
      </c>
      <c r="J79" s="26" t="str">
        <f>IF(Table1[[#This Row],[MARGIN]]&lt;25%, "REVIEW", "OK")</f>
        <v>REVIEW</v>
      </c>
    </row>
    <row r="80" spans="1:10" ht="15.6" x14ac:dyDescent="0.3">
      <c r="A80" s="17" t="s">
        <v>131</v>
      </c>
      <c r="B80" s="12" t="s">
        <v>132</v>
      </c>
      <c r="C80" s="12" t="s">
        <v>1427</v>
      </c>
      <c r="D80" s="10" t="s">
        <v>8</v>
      </c>
      <c r="E80" s="10" t="s">
        <v>8</v>
      </c>
      <c r="F80" s="12" t="s">
        <v>8</v>
      </c>
      <c r="G80" s="46">
        <v>6.59</v>
      </c>
      <c r="H80" s="46" cm="1">
        <f t="array" ref="H80">ROUND(G80*IF(OR(MID(A80,5,3)={"BFF","PRK","FPL","LMB","FFI","MET","RIC","FLR","SUG","OIL","DRK","JCE","FEG"}),1.21,IF(OR(MID(A80,5,3)={"FVG","FFR"}),1.33,IF(OR(MID(A80,5,3)={"FBT","FCH","FMK","FYG","MLK","ICE","FRV","FPO","FRF","FCC","BRD"}),1.28,IF(OR(MID(A80,5,3)={"BIS","CRP","HRB","TUR","IND","HYG"}),1.38,1.31)))),2)</f>
        <v>8.6300000000000008</v>
      </c>
      <c r="I80" s="27">
        <f>(Table1[[#This Row],[SALE PRICE]]-Table1[[#This Row],[COST PRICE]])/Table1[[#This Row],[SALE PRICE]]</f>
        <v>0.23638470451911944</v>
      </c>
      <c r="J80" s="27" t="str">
        <f>IF(Table1[[#This Row],[MARGIN]]&lt;25%, "REVIEW", "OK")</f>
        <v>REVIEW</v>
      </c>
    </row>
    <row r="81" spans="1:10" ht="15.6" x14ac:dyDescent="0.3">
      <c r="A81" s="18" t="s">
        <v>133</v>
      </c>
      <c r="B81" s="13" t="s">
        <v>134</v>
      </c>
      <c r="C81" s="13" t="s">
        <v>1427</v>
      </c>
      <c r="D81" s="11" t="s">
        <v>8</v>
      </c>
      <c r="E81" s="11" t="s">
        <v>8</v>
      </c>
      <c r="F81" s="13" t="s">
        <v>8</v>
      </c>
      <c r="G81" s="47">
        <v>9.99</v>
      </c>
      <c r="H81" s="47" cm="1">
        <f t="array" ref="H81">ROUND(G81*IF(OR(MID(A81,5,3)={"BFF","PRK","FPL","LMB","FFI","MET","RIC","FLR","SUG","OIL","DRK","JCE","FEG"}),1.21,IF(OR(MID(A81,5,3)={"FVG","FFR"}),1.33,IF(OR(MID(A81,5,3)={"FBT","FCH","FMK","FYG","MLK","ICE","FRV","FPO","FRF","FCC","BRD"}),1.28,IF(OR(MID(A81,5,3)={"BIS","CRP","HRB","TUR","IND","HYG"}),1.38,1.31)))),2)</f>
        <v>13.09</v>
      </c>
      <c r="I81" s="29">
        <f>(Table1[[#This Row],[SALE PRICE]]-Table1[[#This Row],[COST PRICE]])/Table1[[#This Row],[SALE PRICE]]</f>
        <v>0.23682200152788385</v>
      </c>
      <c r="J81" s="26" t="str">
        <f>IF(Table1[[#This Row],[MARGIN]]&lt;25%, "REVIEW", "OK")</f>
        <v>REVIEW</v>
      </c>
    </row>
    <row r="82" spans="1:10" ht="15.6" x14ac:dyDescent="0.3">
      <c r="A82" s="17" t="s">
        <v>135</v>
      </c>
      <c r="B82" s="12" t="s">
        <v>136</v>
      </c>
      <c r="C82" s="12" t="s">
        <v>1427</v>
      </c>
      <c r="D82" s="10" t="s">
        <v>8</v>
      </c>
      <c r="E82" s="10" t="s">
        <v>8</v>
      </c>
      <c r="F82" s="12" t="s">
        <v>8</v>
      </c>
      <c r="G82" s="46">
        <v>6.99</v>
      </c>
      <c r="H82" s="46" cm="1">
        <f t="array" ref="H82">ROUND(G82*IF(OR(MID(A82,5,3)={"BFF","PRK","FPL","LMB","FFI","MET","RIC","FLR","SUG","OIL","DRK","JCE","FEG"}),1.21,IF(OR(MID(A82,5,3)={"FVG","FFR"}),1.33,IF(OR(MID(A82,5,3)={"FBT","FCH","FMK","FYG","MLK","ICE","FRV","FPO","FRF","FCC","BRD"}),1.28,IF(OR(MID(A82,5,3)={"BIS","CRP","HRB","TUR","IND","HYG"}),1.38,1.31)))),2)</f>
        <v>9.16</v>
      </c>
      <c r="I82" s="27">
        <f>(Table1[[#This Row],[SALE PRICE]]-Table1[[#This Row],[COST PRICE]])/Table1[[#This Row],[SALE PRICE]]</f>
        <v>0.23689956331877729</v>
      </c>
      <c r="J82" s="27" t="str">
        <f>IF(Table1[[#This Row],[MARGIN]]&lt;25%, "REVIEW", "OK")</f>
        <v>REVIEW</v>
      </c>
    </row>
    <row r="83" spans="1:10" ht="15.6" x14ac:dyDescent="0.3">
      <c r="A83" s="18" t="s">
        <v>137</v>
      </c>
      <c r="B83" s="13" t="s">
        <v>138</v>
      </c>
      <c r="C83" s="13" t="s">
        <v>1431</v>
      </c>
      <c r="D83" s="11" t="s">
        <v>8</v>
      </c>
      <c r="E83" s="11" t="s">
        <v>8</v>
      </c>
      <c r="F83" s="13" t="s">
        <v>8</v>
      </c>
      <c r="G83" s="47">
        <v>2.2000000000000002</v>
      </c>
      <c r="H83" s="47" cm="1">
        <f t="array" ref="H83">ROUND(G83*IF(OR(MID(A83,5,3)={"BFF","PRK","FPL","LMB","FFI","MET","RIC","FLR","SUG","OIL","DRK","JCE","FEG"}),1.21,IF(OR(MID(A83,5,3)={"FVG","FFR"}),1.33,IF(OR(MID(A83,5,3)={"FBT","FCH","FMK","FYG","MLK","ICE","FRV","FPO","FRF","FCC","BRD"}),1.28,IF(OR(MID(A83,5,3)={"BIS","CRP","HRB","TUR","IND","HYG"}),1.38,1.31)))),2)</f>
        <v>2.88</v>
      </c>
      <c r="I83" s="29">
        <f>(Table1[[#This Row],[SALE PRICE]]-Table1[[#This Row],[COST PRICE]])/Table1[[#This Row],[SALE PRICE]]</f>
        <v>0.23611111111111102</v>
      </c>
      <c r="J83" s="26" t="str">
        <f>IF(Table1[[#This Row],[MARGIN]]&lt;25%, "REVIEW", "OK")</f>
        <v>REVIEW</v>
      </c>
    </row>
    <row r="84" spans="1:10" ht="15.6" x14ac:dyDescent="0.3">
      <c r="A84" s="17" t="s">
        <v>139</v>
      </c>
      <c r="B84" s="12" t="s">
        <v>140</v>
      </c>
      <c r="C84" s="12" t="s">
        <v>1427</v>
      </c>
      <c r="D84" s="10" t="s">
        <v>8</v>
      </c>
      <c r="E84" s="10" t="s">
        <v>8</v>
      </c>
      <c r="F84" s="12" t="s">
        <v>8</v>
      </c>
      <c r="G84" s="46">
        <v>10.49</v>
      </c>
      <c r="H84" s="46" cm="1">
        <f t="array" ref="H84">ROUND(G84*IF(OR(MID(A84,5,3)={"BFF","PRK","FPL","LMB","FFI","MET","RIC","FLR","SUG","OIL","DRK","JCE","FEG"}),1.21,IF(OR(MID(A84,5,3)={"FVG","FFR"}),1.33,IF(OR(MID(A84,5,3)={"FBT","FCH","FMK","FYG","MLK","ICE","FRV","FPO","FRF","FCC","BRD"}),1.28,IF(OR(MID(A84,5,3)={"BIS","CRP","HRB","TUR","IND","HYG"}),1.38,1.31)))),2)</f>
        <v>13.74</v>
      </c>
      <c r="I84" s="27">
        <f>(Table1[[#This Row],[SALE PRICE]]-Table1[[#This Row],[COST PRICE]])/Table1[[#This Row],[SALE PRICE]]</f>
        <v>0.23653566229985443</v>
      </c>
      <c r="J84" s="27" t="str">
        <f>IF(Table1[[#This Row],[MARGIN]]&lt;25%, "REVIEW", "OK")</f>
        <v>REVIEW</v>
      </c>
    </row>
    <row r="85" spans="1:10" ht="15.6" x14ac:dyDescent="0.3">
      <c r="A85" s="18" t="s">
        <v>141</v>
      </c>
      <c r="B85" s="13" t="s">
        <v>142</v>
      </c>
      <c r="C85" s="13" t="s">
        <v>1427</v>
      </c>
      <c r="D85" s="11" t="s">
        <v>8</v>
      </c>
      <c r="E85" s="11" t="s">
        <v>8</v>
      </c>
      <c r="F85" s="13" t="s">
        <v>8</v>
      </c>
      <c r="G85" s="47">
        <v>10.29</v>
      </c>
      <c r="H85" s="47" cm="1">
        <f t="array" ref="H85">ROUND(G85*IF(OR(MID(A85,5,3)={"BFF","PRK","FPL","LMB","FFI","MET","RIC","FLR","SUG","OIL","DRK","JCE","FEG"}),1.21,IF(OR(MID(A85,5,3)={"FVG","FFR"}),1.33,IF(OR(MID(A85,5,3)={"FBT","FCH","FMK","FYG","MLK","ICE","FRV","FPO","FRF","FCC","BRD"}),1.28,IF(OR(MID(A85,5,3)={"BIS","CRP","HRB","TUR","IND","HYG"}),1.38,1.31)))),2)</f>
        <v>13.48</v>
      </c>
      <c r="I85" s="29">
        <f>(Table1[[#This Row],[SALE PRICE]]-Table1[[#This Row],[COST PRICE]])/Table1[[#This Row],[SALE PRICE]]</f>
        <v>0.23664688427299713</v>
      </c>
      <c r="J85" s="26" t="str">
        <f>IF(Table1[[#This Row],[MARGIN]]&lt;25%, "REVIEW", "OK")</f>
        <v>REVIEW</v>
      </c>
    </row>
    <row r="86" spans="1:10" ht="15.6" x14ac:dyDescent="0.3">
      <c r="A86" s="17" t="s">
        <v>143</v>
      </c>
      <c r="B86" s="13" t="s">
        <v>1028</v>
      </c>
      <c r="C86" s="12" t="s">
        <v>1427</v>
      </c>
      <c r="D86" s="11"/>
      <c r="E86" s="11"/>
      <c r="F86" s="13"/>
      <c r="G86" s="47">
        <v>31.49</v>
      </c>
      <c r="H86" s="46" cm="1">
        <f t="array" ref="H86">ROUND(G86*IF(OR(MID(A86,5,3)={"BFF","PRK","FPL","LMB","FFI","MET","RIC","FLR","SUG","OIL","DRK","JCE","FEG"}),1.21,IF(OR(MID(A86,5,3)={"FVG","FFR"}),1.33,IF(OR(MID(A86,5,3)={"FBT","FCH","FMK","FYG","MLK","ICE","FRV","FPO","FRF","FCC","BRD"}),1.28,IF(OR(MID(A86,5,3)={"BIS","CRP","HRB","TUR","IND","HYG"}),1.38,1.31)))),2)</f>
        <v>41.25</v>
      </c>
      <c r="I86" s="27">
        <f>(Table1[[#This Row],[SALE PRICE]]-Table1[[#This Row],[COST PRICE]])/Table1[[#This Row],[SALE PRICE]]</f>
        <v>0.23660606060606065</v>
      </c>
      <c r="J86" s="27" t="str">
        <f>IF(Table1[[#This Row],[MARGIN]]&lt;25%, "REVIEW", "OK")</f>
        <v>REVIEW</v>
      </c>
    </row>
    <row r="87" spans="1:10" ht="15.6" x14ac:dyDescent="0.3">
      <c r="A87" s="17" t="s">
        <v>1027</v>
      </c>
      <c r="B87" s="12" t="s">
        <v>144</v>
      </c>
      <c r="C87" s="13" t="s">
        <v>1427</v>
      </c>
      <c r="D87" s="10" t="s">
        <v>8</v>
      </c>
      <c r="E87" s="10" t="s">
        <v>8</v>
      </c>
      <c r="F87" s="12" t="s">
        <v>8</v>
      </c>
      <c r="G87" s="46">
        <v>9.89</v>
      </c>
      <c r="H87" s="47" cm="1">
        <f t="array" ref="H87">ROUND(G87*IF(OR(MID(A87,5,3)={"BFF","PRK","FPL","LMB","FFI","MET","RIC","FLR","SUG","OIL","DRK","JCE","FEG"}),1.21,IF(OR(MID(A87,5,3)={"FVG","FFR"}),1.33,IF(OR(MID(A87,5,3)={"FBT","FCH","FMK","FYG","MLK","ICE","FRV","FPO","FRF","FCC","BRD"}),1.28,IF(OR(MID(A87,5,3)={"BIS","CRP","HRB","TUR","IND","HYG"}),1.38,1.31)))),2)</f>
        <v>12.96</v>
      </c>
      <c r="I87" s="29">
        <f>(Table1[[#This Row],[SALE PRICE]]-Table1[[#This Row],[COST PRICE]])/Table1[[#This Row],[SALE PRICE]]</f>
        <v>0.23688271604938271</v>
      </c>
      <c r="J87" s="26" t="str">
        <f>IF(Table1[[#This Row],[MARGIN]]&lt;25%, "REVIEW", "OK")</f>
        <v>REVIEW</v>
      </c>
    </row>
    <row r="88" spans="1:10" s="1" customFormat="1" ht="31.2" x14ac:dyDescent="0.3">
      <c r="A88" s="16" t="s">
        <v>145</v>
      </c>
      <c r="B88" s="2" t="s">
        <v>8</v>
      </c>
      <c r="C88" s="2"/>
      <c r="D88" s="2" t="s">
        <v>8</v>
      </c>
      <c r="E88" s="2" t="s">
        <v>8</v>
      </c>
      <c r="F88" s="2" t="s">
        <v>8</v>
      </c>
      <c r="G88" s="48" t="s">
        <v>8</v>
      </c>
      <c r="H88" s="48" t="e" cm="1">
        <f t="array" ref="H88">ROUND(G88*IF(OR(MID(A88,5,3)={"BFF","PRK","FPL","LMB","FFI","MET","RIC","FLR","SUG","OIL","DRK","JCE","FEG"}),1.21,IF(OR(MID(A88,5,3)={"FVG","FFR"}),1.33,IF(OR(MID(A88,5,3)={"FBT","FCH","FMK","FYG","MLK","ICE","FRV","FPO","FRF","FCC","BRD"}),1.28,IF(OR(MID(A88,5,3)={"BIS","CRP","HRB","TUR","IND","HYG"}),1.38,1.31)))),2)</f>
        <v>#VALUE!</v>
      </c>
      <c r="I88" s="19"/>
      <c r="J88" s="19"/>
    </row>
    <row r="89" spans="1:10" ht="15.6" x14ac:dyDescent="0.3">
      <c r="A89" s="18" t="s">
        <v>146</v>
      </c>
      <c r="B89" s="13" t="s">
        <v>147</v>
      </c>
      <c r="C89" s="13" t="s">
        <v>1427</v>
      </c>
      <c r="D89" s="11" t="s">
        <v>8</v>
      </c>
      <c r="E89" s="11" t="s">
        <v>8</v>
      </c>
      <c r="F89" s="13" t="s">
        <v>8</v>
      </c>
      <c r="G89" s="47">
        <v>28.49</v>
      </c>
      <c r="H89" s="47" cm="1">
        <f t="array" ref="H89">ROUND(G89*IF(OR(MID(A89,5,3)={"BFF","PRK","FPL","LMB","FFI","MET","RIC","FLR","SUG","OIL","DRK","JCE","FEG"}),1.21,IF(OR(MID(A89,5,3)={"FVG","FFR"}),1.33,IF(OR(MID(A89,5,3)={"FBT","FCH","FMK","FYG","MLK","ICE","FRV","FPO","FRF","FCC","BRD"}),1.28,IF(OR(MID(A89,5,3)={"BIS","CRP","HRB","TUR","IND","HYG"}),1.38,1.31)))),2)</f>
        <v>37.32</v>
      </c>
      <c r="I89" s="29">
        <f>(Table1[[#This Row],[SALE PRICE]]-Table1[[#This Row],[COST PRICE]])/Table1[[#This Row],[SALE PRICE]]</f>
        <v>0.23660235798499468</v>
      </c>
      <c r="J89" s="26" t="str">
        <f>IF(Table1[[#This Row],[MARGIN]]&lt;25%, "REVIEW", "OK")</f>
        <v>REVIEW</v>
      </c>
    </row>
    <row r="90" spans="1:10" ht="15.6" x14ac:dyDescent="0.3">
      <c r="A90" s="17" t="s">
        <v>148</v>
      </c>
      <c r="B90" s="12" t="s">
        <v>149</v>
      </c>
      <c r="C90" s="12" t="s">
        <v>1428</v>
      </c>
      <c r="D90" s="10" t="s">
        <v>8</v>
      </c>
      <c r="E90" s="10" t="s">
        <v>8</v>
      </c>
      <c r="F90" s="12" t="s">
        <v>8</v>
      </c>
      <c r="G90" s="46">
        <v>11.79</v>
      </c>
      <c r="H90" s="46" cm="1">
        <f t="array" ref="H90">ROUND(G90*IF(OR(MID(A90,5,3)={"BFF","PRK","FPL","LMB","FFI","MET","RIC","FLR","SUG","OIL","DRK","JCE","FEG"}),1.21,IF(OR(MID(A90,5,3)={"FVG","FFR"}),1.33,IF(OR(MID(A90,5,3)={"FBT","FCH","FMK","FYG","MLK","ICE","FRV","FPO","FRF","FCC","BRD"}),1.28,IF(OR(MID(A90,5,3)={"BIS","CRP","HRB","TUR","IND","HYG"}),1.38,1.31)))),2)</f>
        <v>15.44</v>
      </c>
      <c r="I90" s="27">
        <f>(Table1[[#This Row],[SALE PRICE]]-Table1[[#This Row],[COST PRICE]])/Table1[[#This Row],[SALE PRICE]]</f>
        <v>0.23639896373056998</v>
      </c>
      <c r="J90" s="27" t="str">
        <f>IF(Table1[[#This Row],[MARGIN]]&lt;25%, "REVIEW", "OK")</f>
        <v>REVIEW</v>
      </c>
    </row>
    <row r="91" spans="1:10" ht="15.6" x14ac:dyDescent="0.3">
      <c r="A91" s="18" t="s">
        <v>150</v>
      </c>
      <c r="B91" s="13" t="s">
        <v>151</v>
      </c>
      <c r="C91" s="13" t="s">
        <v>1427</v>
      </c>
      <c r="D91" s="11" t="s">
        <v>8</v>
      </c>
      <c r="E91" s="11" t="s">
        <v>8</v>
      </c>
      <c r="F91" s="13" t="s">
        <v>8</v>
      </c>
      <c r="G91" s="47">
        <v>15.99</v>
      </c>
      <c r="H91" s="47" cm="1">
        <f t="array" ref="H91">ROUND(G91*IF(OR(MID(A91,5,3)={"BFF","PRK","FPL","LMB","FFI","MET","RIC","FLR","SUG","OIL","DRK","JCE","FEG"}),1.21,IF(OR(MID(A91,5,3)={"FVG","FFR"}),1.33,IF(OR(MID(A91,5,3)={"FBT","FCH","FMK","FYG","MLK","ICE","FRV","FPO","FRF","FCC","BRD"}),1.28,IF(OR(MID(A91,5,3)={"BIS","CRP","HRB","TUR","IND","HYG"}),1.38,1.31)))),2)</f>
        <v>20.95</v>
      </c>
      <c r="I91" s="29">
        <f>(Table1[[#This Row],[SALE PRICE]]-Table1[[#This Row],[COST PRICE]])/Table1[[#This Row],[SALE PRICE]]</f>
        <v>0.23675417661097847</v>
      </c>
      <c r="J91" s="26" t="str">
        <f>IF(Table1[[#This Row],[MARGIN]]&lt;25%, "REVIEW", "OK")</f>
        <v>REVIEW</v>
      </c>
    </row>
    <row r="92" spans="1:10" ht="15.6" x14ac:dyDescent="0.3">
      <c r="A92" s="17" t="s">
        <v>152</v>
      </c>
      <c r="B92" s="12" t="s">
        <v>153</v>
      </c>
      <c r="C92" s="12" t="s">
        <v>1427</v>
      </c>
      <c r="D92" s="10" t="s">
        <v>8</v>
      </c>
      <c r="E92" s="10" t="s">
        <v>8</v>
      </c>
      <c r="F92" s="12" t="s">
        <v>8</v>
      </c>
      <c r="G92" s="46">
        <v>7.99</v>
      </c>
      <c r="H92" s="46" cm="1">
        <f t="array" ref="H92">ROUND(G92*IF(OR(MID(A92,5,3)={"BFF","PRK","FPL","LMB","FFI","MET","RIC","FLR","SUG","OIL","DRK","JCE","FEG"}),1.21,IF(OR(MID(A92,5,3)={"FVG","FFR"}),1.33,IF(OR(MID(A92,5,3)={"FBT","FCH","FMK","FYG","MLK","ICE","FRV","FPO","FRF","FCC","BRD"}),1.28,IF(OR(MID(A92,5,3)={"BIS","CRP","HRB","TUR","IND","HYG"}),1.38,1.31)))),2)</f>
        <v>10.47</v>
      </c>
      <c r="I92" s="27">
        <f>(Table1[[#This Row],[SALE PRICE]]-Table1[[#This Row],[COST PRICE]])/Table1[[#This Row],[SALE PRICE]]</f>
        <v>0.23686723973256926</v>
      </c>
      <c r="J92" s="27" t="str">
        <f>IF(Table1[[#This Row],[MARGIN]]&lt;25%, "REVIEW", "OK")</f>
        <v>REVIEW</v>
      </c>
    </row>
    <row r="93" spans="1:10" ht="15.6" x14ac:dyDescent="0.3">
      <c r="A93" s="18" t="s">
        <v>154</v>
      </c>
      <c r="B93" s="13" t="s">
        <v>155</v>
      </c>
      <c r="C93" s="13" t="s">
        <v>1427</v>
      </c>
      <c r="D93" s="11" t="s">
        <v>8</v>
      </c>
      <c r="E93" s="11" t="s">
        <v>8</v>
      </c>
      <c r="F93" s="13" t="s">
        <v>8</v>
      </c>
      <c r="G93" s="47">
        <v>16.989999999999998</v>
      </c>
      <c r="H93" s="47" cm="1">
        <f t="array" ref="H93">ROUND(G93*IF(OR(MID(A93,5,3)={"BFF","PRK","FPL","LMB","FFI","MET","RIC","FLR","SUG","OIL","DRK","JCE","FEG"}),1.21,IF(OR(MID(A93,5,3)={"FVG","FFR"}),1.33,IF(OR(MID(A93,5,3)={"FBT","FCH","FMK","FYG","MLK","ICE","FRV","FPO","FRF","FCC","BRD"}),1.28,IF(OR(MID(A93,5,3)={"BIS","CRP","HRB","TUR","IND","HYG"}),1.38,1.31)))),2)</f>
        <v>22.26</v>
      </c>
      <c r="I93" s="29">
        <f>(Table1[[#This Row],[SALE PRICE]]-Table1[[#This Row],[COST PRICE]])/Table1[[#This Row],[SALE PRICE]]</f>
        <v>0.23674752920035952</v>
      </c>
      <c r="J93" s="26" t="str">
        <f>IF(Table1[[#This Row],[MARGIN]]&lt;25%, "REVIEW", "OK")</f>
        <v>REVIEW</v>
      </c>
    </row>
    <row r="94" spans="1:10" ht="15.6" x14ac:dyDescent="0.3">
      <c r="A94" s="17" t="s">
        <v>156</v>
      </c>
      <c r="B94" s="12" t="s">
        <v>157</v>
      </c>
      <c r="C94" s="12" t="s">
        <v>1427</v>
      </c>
      <c r="D94" s="10" t="s">
        <v>8</v>
      </c>
      <c r="E94" s="10" t="s">
        <v>8</v>
      </c>
      <c r="F94" s="12" t="s">
        <v>8</v>
      </c>
      <c r="G94" s="46">
        <v>16.989999999999998</v>
      </c>
      <c r="H94" s="46" cm="1">
        <f t="array" ref="H94">ROUND(G94*IF(OR(MID(A94,5,3)={"BFF","PRK","FPL","LMB","FFI","MET","RIC","FLR","SUG","OIL","DRK","JCE","FEG"}),1.21,IF(OR(MID(A94,5,3)={"FVG","FFR"}),1.33,IF(OR(MID(A94,5,3)={"FBT","FCH","FMK","FYG","MLK","ICE","FRV","FPO","FRF","FCC","BRD"}),1.28,IF(OR(MID(A94,5,3)={"BIS","CRP","HRB","TUR","IND","HYG"}),1.38,1.31)))),2)</f>
        <v>22.26</v>
      </c>
      <c r="I94" s="27">
        <f>(Table1[[#This Row],[SALE PRICE]]-Table1[[#This Row],[COST PRICE]])/Table1[[#This Row],[SALE PRICE]]</f>
        <v>0.23674752920035952</v>
      </c>
      <c r="J94" s="27" t="str">
        <f>IF(Table1[[#This Row],[MARGIN]]&lt;25%, "REVIEW", "OK")</f>
        <v>REVIEW</v>
      </c>
    </row>
    <row r="95" spans="1:10" ht="15.6" x14ac:dyDescent="0.3">
      <c r="A95" s="17" t="s">
        <v>2292</v>
      </c>
      <c r="B95" s="60" t="s">
        <v>2293</v>
      </c>
      <c r="C95" s="60" t="s">
        <v>1431</v>
      </c>
      <c r="D95" s="61"/>
      <c r="E95" s="61"/>
      <c r="F95" s="60"/>
      <c r="G95" s="46">
        <v>18.489999999999998</v>
      </c>
      <c r="H95" s="63" cm="1">
        <f t="array" ref="H95">ROUND(G95*IF(OR(MID(A95,5,3)={"BFF","PRK","FPL","LMB","FFI","MET","RIC","FLR","SUG","OIL","DRK","JCE","FEG"}),1.21,IF(OR(MID(A95,5,3)={"FVG","FFR"}),1.33,IF(OR(MID(A95,5,3)={"FBT","FCH","FMK","FYG","MLK","ICE","FRV","FPO","FRF","FCC","BRD"}),1.28,IF(OR(MID(A95,5,3)={"BIS","CRP","HRB","TUR","IND","HYG"}),1.38,1.31)))),2)</f>
        <v>24.22</v>
      </c>
      <c r="I95" s="27">
        <f>(Table1[[#This Row],[SALE PRICE]]-Table1[[#This Row],[COST PRICE]])/Table1[[#This Row],[SALE PRICE]]</f>
        <v>0.23658133773740714</v>
      </c>
      <c r="J95" s="65" t="str">
        <f>IF(Table1[[#This Row],[MARGIN]]&lt;25%, "REVIEW", "OK")</f>
        <v>REVIEW</v>
      </c>
    </row>
    <row r="96" spans="1:10" s="1" customFormat="1" ht="15.6" x14ac:dyDescent="0.3">
      <c r="A96" s="16" t="s">
        <v>158</v>
      </c>
      <c r="B96" s="2" t="s">
        <v>8</v>
      </c>
      <c r="C96" s="2"/>
      <c r="D96" s="2" t="s">
        <v>8</v>
      </c>
      <c r="E96" s="2" t="s">
        <v>8</v>
      </c>
      <c r="F96" s="2" t="s">
        <v>8</v>
      </c>
      <c r="G96" s="48" t="s">
        <v>8</v>
      </c>
      <c r="H96" s="48" t="e" cm="1">
        <f t="array" ref="H96">ROUND(G96*IF(OR(MID(A96,5,3)={"BFF","PRK","FPL","LMB","FFI","MET","RIC","FLR","SUG","OIL","DRK","JCE","FEG"}),1.21,IF(OR(MID(A96,5,3)={"FVG","FFR"}),1.33,IF(OR(MID(A96,5,3)={"FBT","FCH","FMK","FYG","MLK","ICE","FRV","FPO","FRF","FCC","BRD"}),1.28,IF(OR(MID(A96,5,3)={"BIS","CRP","HRB","TUR","IND","HYG"}),1.38,1.31)))),2)</f>
        <v>#VALUE!</v>
      </c>
      <c r="I96" s="19"/>
      <c r="J96" s="19"/>
    </row>
    <row r="97" spans="1:10" ht="15.6" x14ac:dyDescent="0.3">
      <c r="A97" s="18" t="s">
        <v>159</v>
      </c>
      <c r="B97" s="13" t="s">
        <v>160</v>
      </c>
      <c r="C97" s="13" t="s">
        <v>1432</v>
      </c>
      <c r="D97" s="11" t="s">
        <v>8</v>
      </c>
      <c r="E97" s="11" t="s">
        <v>8</v>
      </c>
      <c r="F97" s="13" t="s">
        <v>8</v>
      </c>
      <c r="G97" s="47">
        <v>9.89</v>
      </c>
      <c r="H97" s="46" cm="1">
        <f t="array" ref="H97">ROUND(G97*IF(OR(MID(A97,5,3)={"BFF","PRK","FPL","LMB","FFI","MET","RIC","FLR","SUG","OIL","DRK","JCE","FEG"}),1.21,IF(OR(MID(A97,5,3)={"FVG","FFR"}),1.33,IF(OR(MID(A97,5,3)={"FBT","FCH","FMK","FYG","MLK","ICE","FRV","FPO","FRF","FCC","BRD"}),1.28,IF(OR(MID(A97,5,3)={"BIS","CRP","HRB","TUR","IND","HYG"}),1.38,1.31)))),2)</f>
        <v>12.96</v>
      </c>
      <c r="I97" s="27">
        <f>(Table1[[#This Row],[SALE PRICE]]-Table1[[#This Row],[COST PRICE]])/Table1[[#This Row],[SALE PRICE]]</f>
        <v>0.23688271604938271</v>
      </c>
      <c r="J97" s="27" t="str">
        <f>IF(Table1[[#This Row],[MARGIN]]&lt;25%, "REVIEW", "OK")</f>
        <v>REVIEW</v>
      </c>
    </row>
    <row r="98" spans="1:10" ht="15.6" x14ac:dyDescent="0.3">
      <c r="A98" s="17" t="s">
        <v>161</v>
      </c>
      <c r="B98" s="12" t="s">
        <v>162</v>
      </c>
      <c r="C98" s="12" t="s">
        <v>1432</v>
      </c>
      <c r="D98" s="10" t="s">
        <v>8</v>
      </c>
      <c r="E98" s="10" t="s">
        <v>8</v>
      </c>
      <c r="F98" s="12" t="s">
        <v>8</v>
      </c>
      <c r="G98" s="46">
        <v>1.3</v>
      </c>
      <c r="H98" s="47" cm="1">
        <f t="array" ref="H98">ROUND(G98*IF(OR(MID(A98,5,3)={"BFF","PRK","FPL","LMB","FFI","MET","RIC","FLR","SUG","OIL","DRK","JCE","FEG"}),1.21,IF(OR(MID(A98,5,3)={"FVG","FFR"}),1.33,IF(OR(MID(A98,5,3)={"FBT","FCH","FMK","FYG","MLK","ICE","FRV","FPO","FRF","FCC","BRD"}),1.28,IF(OR(MID(A98,5,3)={"BIS","CRP","HRB","TUR","IND","HYG"}),1.38,1.31)))),2)</f>
        <v>1.7</v>
      </c>
      <c r="I98" s="29">
        <f>(Table1[[#This Row],[SALE PRICE]]-Table1[[#This Row],[COST PRICE]])/Table1[[#This Row],[SALE PRICE]]</f>
        <v>0.23529411764705876</v>
      </c>
      <c r="J98" s="26" t="str">
        <f>IF(Table1[[#This Row],[MARGIN]]&lt;25%, "REVIEW", "OK")</f>
        <v>REVIEW</v>
      </c>
    </row>
    <row r="99" spans="1:10" ht="15.6" x14ac:dyDescent="0.3">
      <c r="A99" s="18" t="s">
        <v>163</v>
      </c>
      <c r="B99" s="13" t="s">
        <v>164</v>
      </c>
      <c r="C99" s="13" t="s">
        <v>1432</v>
      </c>
      <c r="D99" s="11" t="s">
        <v>8</v>
      </c>
      <c r="E99" s="11" t="s">
        <v>8</v>
      </c>
      <c r="F99" s="13" t="s">
        <v>8</v>
      </c>
      <c r="G99" s="47">
        <v>0.6</v>
      </c>
      <c r="H99" s="46" cm="1">
        <f t="array" ref="H99">ROUND(G99*IF(OR(MID(A99,5,3)={"BFF","PRK","FPL","LMB","FFI","MET","RIC","FLR","SUG","OIL","DRK","JCE","FEG"}),1.21,IF(OR(MID(A99,5,3)={"FVG","FFR"}),1.33,IF(OR(MID(A99,5,3)={"FBT","FCH","FMK","FYG","MLK","ICE","FRV","FPO","FRF","FCC","BRD"}),1.28,IF(OR(MID(A99,5,3)={"BIS","CRP","HRB","TUR","IND","HYG"}),1.38,1.31)))),2)</f>
        <v>0.79</v>
      </c>
      <c r="I99" s="27">
        <f>(Table1[[#This Row],[SALE PRICE]]-Table1[[#This Row],[COST PRICE]])/Table1[[#This Row],[SALE PRICE]]</f>
        <v>0.24050632911392411</v>
      </c>
      <c r="J99" s="27" t="str">
        <f>IF(Table1[[#This Row],[MARGIN]]&lt;25%, "REVIEW", "OK")</f>
        <v>REVIEW</v>
      </c>
    </row>
    <row r="100" spans="1:10" ht="15.6" x14ac:dyDescent="0.3">
      <c r="A100" s="17" t="s">
        <v>165</v>
      </c>
      <c r="B100" s="12" t="s">
        <v>166</v>
      </c>
      <c r="C100" s="12" t="s">
        <v>1432</v>
      </c>
      <c r="D100" s="10" t="s">
        <v>8</v>
      </c>
      <c r="E100" s="10" t="s">
        <v>8</v>
      </c>
      <c r="F100" s="12" t="s">
        <v>8</v>
      </c>
      <c r="G100" s="46">
        <v>1.4</v>
      </c>
      <c r="H100" s="47" cm="1">
        <f t="array" ref="H100">ROUND(G100*IF(OR(MID(A100,5,3)={"BFF","PRK","FPL","LMB","FFI","MET","RIC","FLR","SUG","OIL","DRK","JCE","FEG"}),1.21,IF(OR(MID(A100,5,3)={"FVG","FFR"}),1.33,IF(OR(MID(A100,5,3)={"FBT","FCH","FMK","FYG","MLK","ICE","FRV","FPO","FRF","FCC","BRD"}),1.28,IF(OR(MID(A100,5,3)={"BIS","CRP","HRB","TUR","IND","HYG"}),1.38,1.31)))),2)</f>
        <v>1.83</v>
      </c>
      <c r="I100" s="29">
        <f>(Table1[[#This Row],[SALE PRICE]]-Table1[[#This Row],[COST PRICE]])/Table1[[#This Row],[SALE PRICE]]</f>
        <v>0.23497267759562848</v>
      </c>
      <c r="J100" s="26" t="str">
        <f>IF(Table1[[#This Row],[MARGIN]]&lt;25%, "REVIEW", "OK")</f>
        <v>REVIEW</v>
      </c>
    </row>
    <row r="101" spans="1:10" ht="15.6" x14ac:dyDescent="0.3">
      <c r="A101" s="18" t="s">
        <v>167</v>
      </c>
      <c r="B101" s="13" t="s">
        <v>168</v>
      </c>
      <c r="C101" s="13" t="s">
        <v>1427</v>
      </c>
      <c r="D101" s="11" t="s">
        <v>8</v>
      </c>
      <c r="E101" s="11" t="s">
        <v>8</v>
      </c>
      <c r="F101" s="13" t="s">
        <v>8</v>
      </c>
      <c r="G101" s="47">
        <v>13.29</v>
      </c>
      <c r="H101" s="46" cm="1">
        <f t="array" ref="H101">ROUND(G101*IF(OR(MID(A101,5,3)={"BFF","PRK","FPL","LMB","FFI","MET","RIC","FLR","SUG","OIL","DRK","JCE","FEG"}),1.21,IF(OR(MID(A101,5,3)={"FVG","FFR"}),1.33,IF(OR(MID(A101,5,3)={"FBT","FCH","FMK","FYG","MLK","ICE","FRV","FPO","FRF","FCC","BRD"}),1.28,IF(OR(MID(A101,5,3)={"BIS","CRP","HRB","TUR","IND","HYG"}),1.38,1.31)))),2)</f>
        <v>17.41</v>
      </c>
      <c r="I101" s="27">
        <f>(Table1[[#This Row],[SALE PRICE]]-Table1[[#This Row],[COST PRICE]])/Table1[[#This Row],[SALE PRICE]]</f>
        <v>0.23664560597357845</v>
      </c>
      <c r="J101" s="27" t="str">
        <f>IF(Table1[[#This Row],[MARGIN]]&lt;25%, "REVIEW", "OK")</f>
        <v>REVIEW</v>
      </c>
    </row>
    <row r="102" spans="1:10" ht="15.6" x14ac:dyDescent="0.3">
      <c r="A102" s="17" t="s">
        <v>169</v>
      </c>
      <c r="B102" s="12" t="s">
        <v>170</v>
      </c>
      <c r="C102" s="12" t="s">
        <v>1427</v>
      </c>
      <c r="D102" s="10" t="s">
        <v>8</v>
      </c>
      <c r="E102" s="10" t="s">
        <v>8</v>
      </c>
      <c r="F102" s="12" t="s">
        <v>8</v>
      </c>
      <c r="G102" s="46">
        <v>13.29</v>
      </c>
      <c r="H102" s="47" cm="1">
        <f t="array" ref="H102">ROUND(G102*IF(OR(MID(A102,5,3)={"BFF","PRK","FPL","LMB","FFI","MET","RIC","FLR","SUG","OIL","DRK","JCE","FEG"}),1.21,IF(OR(MID(A102,5,3)={"FVG","FFR"}),1.33,IF(OR(MID(A102,5,3)={"FBT","FCH","FMK","FYG","MLK","ICE","FRV","FPO","FRF","FCC","BRD"}),1.28,IF(OR(MID(A102,5,3)={"BIS","CRP","HRB","TUR","IND","HYG"}),1.38,1.31)))),2)</f>
        <v>17.41</v>
      </c>
      <c r="I102" s="29">
        <f>(Table1[[#This Row],[SALE PRICE]]-Table1[[#This Row],[COST PRICE]])/Table1[[#This Row],[SALE PRICE]]</f>
        <v>0.23664560597357845</v>
      </c>
      <c r="J102" s="26" t="str">
        <f>IF(Table1[[#This Row],[MARGIN]]&lt;25%, "REVIEW", "OK")</f>
        <v>REVIEW</v>
      </c>
    </row>
    <row r="103" spans="1:10" ht="15.6" x14ac:dyDescent="0.3">
      <c r="A103" s="18" t="s">
        <v>171</v>
      </c>
      <c r="B103" s="13" t="s">
        <v>172</v>
      </c>
      <c r="C103" s="13" t="s">
        <v>1427</v>
      </c>
      <c r="D103" s="11" t="s">
        <v>8</v>
      </c>
      <c r="E103" s="11" t="s">
        <v>8</v>
      </c>
      <c r="F103" s="13" t="s">
        <v>8</v>
      </c>
      <c r="G103" s="47">
        <v>24.15</v>
      </c>
      <c r="H103" s="46" cm="1">
        <f t="array" ref="H103">ROUND(G103*IF(OR(MID(A103,5,3)={"BFF","PRK","FPL","LMB","FFI","MET","RIC","FLR","SUG","OIL","DRK","JCE","FEG"}),1.21,IF(OR(MID(A103,5,3)={"FVG","FFR"}),1.33,IF(OR(MID(A103,5,3)={"FBT","FCH","FMK","FYG","MLK","ICE","FRV","FPO","FRF","FCC","BRD"}),1.28,IF(OR(MID(A103,5,3)={"BIS","CRP","HRB","TUR","IND","HYG"}),1.38,1.31)))),2)</f>
        <v>31.64</v>
      </c>
      <c r="I103" s="27">
        <f>(Table1[[#This Row],[SALE PRICE]]-Table1[[#This Row],[COST PRICE]])/Table1[[#This Row],[SALE PRICE]]</f>
        <v>0.23672566371681422</v>
      </c>
      <c r="J103" s="27" t="str">
        <f>IF(Table1[[#This Row],[MARGIN]]&lt;25%, "REVIEW", "OK")</f>
        <v>REVIEW</v>
      </c>
    </row>
    <row r="104" spans="1:10" ht="15.6" x14ac:dyDescent="0.3">
      <c r="A104" s="17" t="s">
        <v>173</v>
      </c>
      <c r="B104" s="12" t="s">
        <v>174</v>
      </c>
      <c r="C104" s="12" t="s">
        <v>1432</v>
      </c>
      <c r="D104" s="10" t="s">
        <v>8</v>
      </c>
      <c r="E104" s="10" t="s">
        <v>8</v>
      </c>
      <c r="F104" s="12" t="s">
        <v>8</v>
      </c>
      <c r="G104" s="46">
        <v>1.3</v>
      </c>
      <c r="H104" s="47" cm="1">
        <f t="array" ref="H104">ROUND(G104*IF(OR(MID(A104,5,3)={"BFF","PRK","FPL","LMB","FFI","MET","RIC","FLR","SUG","OIL","DRK","JCE","FEG"}),1.21,IF(OR(MID(A104,5,3)={"FVG","FFR"}),1.33,IF(OR(MID(A104,5,3)={"FBT","FCH","FMK","FYG","MLK","ICE","FRV","FPO","FRF","FCC","BRD"}),1.28,IF(OR(MID(A104,5,3)={"BIS","CRP","HRB","TUR","IND","HYG"}),1.38,1.31)))),2)</f>
        <v>1.7</v>
      </c>
      <c r="I104" s="29">
        <f>(Table1[[#This Row],[SALE PRICE]]-Table1[[#This Row],[COST PRICE]])/Table1[[#This Row],[SALE PRICE]]</f>
        <v>0.23529411764705876</v>
      </c>
      <c r="J104" s="26" t="str">
        <f>IF(Table1[[#This Row],[MARGIN]]&lt;25%, "REVIEW", "OK")</f>
        <v>REVIEW</v>
      </c>
    </row>
    <row r="105" spans="1:10" ht="15.6" x14ac:dyDescent="0.3">
      <c r="A105" s="18" t="s">
        <v>175</v>
      </c>
      <c r="B105" s="13" t="s">
        <v>176</v>
      </c>
      <c r="C105" s="13" t="s">
        <v>1432</v>
      </c>
      <c r="D105" s="11" t="s">
        <v>8</v>
      </c>
      <c r="E105" s="11" t="s">
        <v>8</v>
      </c>
      <c r="F105" s="13" t="s">
        <v>8</v>
      </c>
      <c r="G105" s="47">
        <v>1.3</v>
      </c>
      <c r="H105" s="46" cm="1">
        <f t="array" ref="H105">ROUND(G105*IF(OR(MID(A105,5,3)={"BFF","PRK","FPL","LMB","FFI","MET","RIC","FLR","SUG","OIL","DRK","JCE","FEG"}),1.21,IF(OR(MID(A105,5,3)={"FVG","FFR"}),1.33,IF(OR(MID(A105,5,3)={"FBT","FCH","FMK","FYG","MLK","ICE","FRV","FPO","FRF","FCC","BRD"}),1.28,IF(OR(MID(A105,5,3)={"BIS","CRP","HRB","TUR","IND","HYG"}),1.38,1.31)))),2)</f>
        <v>1.7</v>
      </c>
      <c r="I105" s="27">
        <f>(Table1[[#This Row],[SALE PRICE]]-Table1[[#This Row],[COST PRICE]])/Table1[[#This Row],[SALE PRICE]]</f>
        <v>0.23529411764705876</v>
      </c>
      <c r="J105" s="27" t="str">
        <f>IF(Table1[[#This Row],[MARGIN]]&lt;25%, "REVIEW", "OK")</f>
        <v>REVIEW</v>
      </c>
    </row>
    <row r="106" spans="1:10" ht="15.6" x14ac:dyDescent="0.3">
      <c r="A106" s="17" t="s">
        <v>177</v>
      </c>
      <c r="B106" s="12" t="s">
        <v>178</v>
      </c>
      <c r="C106" s="12" t="s">
        <v>1427</v>
      </c>
      <c r="D106" s="10" t="s">
        <v>8</v>
      </c>
      <c r="E106" s="10" t="s">
        <v>8</v>
      </c>
      <c r="F106" s="12" t="s">
        <v>8</v>
      </c>
      <c r="G106" s="46">
        <v>15.39</v>
      </c>
      <c r="H106" s="47" cm="1">
        <f t="array" ref="H106">ROUND(G106*IF(OR(MID(A106,5,3)={"BFF","PRK","FPL","LMB","FFI","MET","RIC","FLR","SUG","OIL","DRK","JCE","FEG"}),1.21,IF(OR(MID(A106,5,3)={"FVG","FFR"}),1.33,IF(OR(MID(A106,5,3)={"FBT","FCH","FMK","FYG","MLK","ICE","FRV","FPO","FRF","FCC","BRD"}),1.28,IF(OR(MID(A106,5,3)={"BIS","CRP","HRB","TUR","IND","HYG"}),1.38,1.31)))),2)</f>
        <v>20.16</v>
      </c>
      <c r="I106" s="29">
        <f>(Table1[[#This Row],[SALE PRICE]]-Table1[[#This Row],[COST PRICE]])/Table1[[#This Row],[SALE PRICE]]</f>
        <v>0.23660714285714282</v>
      </c>
      <c r="J106" s="26" t="str">
        <f>IF(Table1[[#This Row],[MARGIN]]&lt;25%, "REVIEW", "OK")</f>
        <v>REVIEW</v>
      </c>
    </row>
    <row r="107" spans="1:10" ht="15.6" x14ac:dyDescent="0.3">
      <c r="A107" s="18" t="s">
        <v>179</v>
      </c>
      <c r="B107" s="13" t="s">
        <v>180</v>
      </c>
      <c r="C107" s="13" t="s">
        <v>1427</v>
      </c>
      <c r="D107" s="11" t="s">
        <v>8</v>
      </c>
      <c r="E107" s="11" t="s">
        <v>8</v>
      </c>
      <c r="F107" s="13" t="s">
        <v>8</v>
      </c>
      <c r="G107" s="47">
        <v>101.89</v>
      </c>
      <c r="H107" s="46" cm="1">
        <f t="array" ref="H107">ROUND(G107*IF(OR(MID(A107,5,3)={"BFF","PRK","FPL","LMB","FFI","MET","RIC","FLR","SUG","OIL","DRK","JCE","FEG"}),1.21,IF(OR(MID(A107,5,3)={"FVG","FFR"}),1.33,IF(OR(MID(A107,5,3)={"FBT","FCH","FMK","FYG","MLK","ICE","FRV","FPO","FRF","FCC","BRD"}),1.28,IF(OR(MID(A107,5,3)={"BIS","CRP","HRB","TUR","IND","HYG"}),1.38,1.31)))),2)</f>
        <v>133.47999999999999</v>
      </c>
      <c r="I107" s="27">
        <f>(Table1[[#This Row],[SALE PRICE]]-Table1[[#This Row],[COST PRICE]])/Table1[[#This Row],[SALE PRICE]]</f>
        <v>0.23666466886424925</v>
      </c>
      <c r="J107" s="27" t="str">
        <f>IF(Table1[[#This Row],[MARGIN]]&lt;25%, "REVIEW", "OK")</f>
        <v>REVIEW</v>
      </c>
    </row>
    <row r="108" spans="1:10" ht="15.6" x14ac:dyDescent="0.3">
      <c r="A108" s="17" t="s">
        <v>181</v>
      </c>
      <c r="B108" s="12" t="s">
        <v>182</v>
      </c>
      <c r="C108" s="12"/>
      <c r="D108" s="10" t="s">
        <v>8</v>
      </c>
      <c r="E108" s="10" t="s">
        <v>8</v>
      </c>
      <c r="F108" s="12" t="s">
        <v>8</v>
      </c>
      <c r="G108" s="46" t="s">
        <v>8</v>
      </c>
      <c r="H108" s="47" t="e" cm="1">
        <f t="array" ref="H108">ROUND(G108*IF(OR(MID(A108,5,3)={"BFF","PRK","FPL","LMB","FFI","MET","RIC","FLR","SUG","OIL","DRK","JCE","FEG"}),1.21,IF(OR(MID(A108,5,3)={"FVG","FFR"}),1.33,IF(OR(MID(A108,5,3)={"FBT","FCH","FMK","FYG","MLK","ICE","FRV","FPO","FRF","FCC","BRD"}),1.28,IF(OR(MID(A108,5,3)={"BIS","CRP","HRB","TUR","IND","HYG"}),1.38,1.31)))),2)</f>
        <v>#VALUE!</v>
      </c>
      <c r="I108" s="29" t="e">
        <f>(Table1[[#This Row],[SALE PRICE]]-Table1[[#This Row],[COST PRICE]])/Table1[[#This Row],[SALE PRICE]]</f>
        <v>#VALUE!</v>
      </c>
      <c r="J108" s="26" t="e">
        <f>IF(Table1[[#This Row],[MARGIN]]&lt;25%, "REVIEW", "OK")</f>
        <v>#VALUE!</v>
      </c>
    </row>
    <row r="109" spans="1:10" s="1" customFormat="1" ht="15.6" x14ac:dyDescent="0.3">
      <c r="A109" s="16" t="s">
        <v>183</v>
      </c>
      <c r="B109" s="2" t="s">
        <v>8</v>
      </c>
      <c r="C109" s="2"/>
      <c r="D109" s="2" t="s">
        <v>8</v>
      </c>
      <c r="E109" s="2" t="s">
        <v>8</v>
      </c>
      <c r="F109" s="2" t="s">
        <v>8</v>
      </c>
      <c r="G109" s="48" t="s">
        <v>8</v>
      </c>
      <c r="H109" s="48" t="e" cm="1">
        <f t="array" ref="H109">ROUND(G109*IF(OR(MID(A109,5,3)={"BFF","PRK","FPL","LMB","FFI","MET","RIC","FLR","SUG","OIL","DRK","JCE","FEG"}),1.21,IF(OR(MID(A109,5,3)={"FVG","FFR"}),1.33,IF(OR(MID(A109,5,3)={"FBT","FCH","FMK","FYG","MLK","ICE","FRV","FPO","FRF","FCC","BRD"}),1.28,IF(OR(MID(A109,5,3)={"BIS","CRP","HRB","TUR","IND","HYG"}),1.38,1.31)))),2)</f>
        <v>#VALUE!</v>
      </c>
      <c r="I109" s="19"/>
      <c r="J109" s="19"/>
    </row>
    <row r="110" spans="1:10" ht="15.6" x14ac:dyDescent="0.3">
      <c r="A110" s="18" t="s">
        <v>184</v>
      </c>
      <c r="B110" s="13" t="s">
        <v>185</v>
      </c>
      <c r="C110" s="13" t="s">
        <v>1427</v>
      </c>
      <c r="D110" s="11" t="s">
        <v>8</v>
      </c>
      <c r="E110" s="11" t="s">
        <v>8</v>
      </c>
      <c r="F110" s="13" t="s">
        <v>8</v>
      </c>
      <c r="G110" s="47">
        <v>42.99</v>
      </c>
      <c r="H110" s="47" cm="1">
        <f t="array" ref="H110">ROUND(G110*IF(OR(MID(A110,5,3)={"BFF","PRK","FPL","LMB","FFI","MET","RIC","FLR","SUG","OIL","DRK","JCE","FEG"}),1.21,IF(OR(MID(A110,5,3)={"FVG","FFR"}),1.33,IF(OR(MID(A110,5,3)={"FBT","FCH","FMK","FYG","MLK","ICE","FRV","FPO","FRF","FCC","BRD"}),1.28,IF(OR(MID(A110,5,3)={"BIS","CRP","HRB","TUR","IND","HYG"}),1.38,1.31)))),2)</f>
        <v>52.02</v>
      </c>
      <c r="I110" s="29">
        <f>(Table1[[#This Row],[SALE PRICE]]-Table1[[#This Row],[COST PRICE]])/Table1[[#This Row],[SALE PRICE]]</f>
        <v>0.17358708189158017</v>
      </c>
      <c r="J110" s="26" t="str">
        <f>IF(Table1[[#This Row],[MARGIN]]&lt;25%, "REVIEW", "OK")</f>
        <v>REVIEW</v>
      </c>
    </row>
    <row r="111" spans="1:10" ht="15.6" x14ac:dyDescent="0.3">
      <c r="A111" s="17" t="s">
        <v>186</v>
      </c>
      <c r="B111" s="12" t="s">
        <v>187</v>
      </c>
      <c r="C111" s="12" t="s">
        <v>1427</v>
      </c>
      <c r="D111" s="10" t="s">
        <v>8</v>
      </c>
      <c r="E111" s="10" t="s">
        <v>8</v>
      </c>
      <c r="F111" s="12" t="s">
        <v>8</v>
      </c>
      <c r="G111" s="46">
        <v>10.99</v>
      </c>
      <c r="H111" s="46" cm="1">
        <f t="array" ref="H111">ROUND(G111*IF(OR(MID(A111,5,3)={"BFF","PRK","FPL","LMB","FFI","MET","RIC","FLR","SUG","OIL","DRK","JCE","FEG"}),1.21,IF(OR(MID(A111,5,3)={"FVG","FFR"}),1.33,IF(OR(MID(A111,5,3)={"FBT","FCH","FMK","FYG","MLK","ICE","FRV","FPO","FRF","FCC","BRD"}),1.28,IF(OR(MID(A111,5,3)={"BIS","CRP","HRB","TUR","IND","HYG"}),1.38,1.31)))),2)</f>
        <v>13.3</v>
      </c>
      <c r="I111" s="27">
        <f>(Table1[[#This Row],[SALE PRICE]]-Table1[[#This Row],[COST PRICE]])/Table1[[#This Row],[SALE PRICE]]</f>
        <v>0.17368421052631583</v>
      </c>
      <c r="J111" s="27" t="str">
        <f>IF(Table1[[#This Row],[MARGIN]]&lt;25%, "REVIEW", "OK")</f>
        <v>REVIEW</v>
      </c>
    </row>
    <row r="112" spans="1:10" ht="15.6" x14ac:dyDescent="0.3">
      <c r="A112" s="18" t="s">
        <v>188</v>
      </c>
      <c r="B112" s="13" t="s">
        <v>189</v>
      </c>
      <c r="C112" s="13" t="s">
        <v>1433</v>
      </c>
      <c r="D112" s="11" t="s">
        <v>8</v>
      </c>
      <c r="E112" s="11" t="s">
        <v>8</v>
      </c>
      <c r="F112" s="13" t="s">
        <v>8</v>
      </c>
      <c r="G112" s="47">
        <v>19.59</v>
      </c>
      <c r="H112" s="47" cm="1">
        <f t="array" ref="H112">ROUND(G112*IF(OR(MID(A112,5,3)={"BFF","PRK","FPL","LMB","FFI","MET","RIC","FLR","SUG","OIL","DRK","JCE","FEG"}),1.21,IF(OR(MID(A112,5,3)={"FVG","FFR"}),1.33,IF(OR(MID(A112,5,3)={"FBT","FCH","FMK","FYG","MLK","ICE","FRV","FPO","FRF","FCC","BRD"}),1.28,IF(OR(MID(A112,5,3)={"BIS","CRP","HRB","TUR","IND","HYG"}),1.38,1.31)))),2)</f>
        <v>23.7</v>
      </c>
      <c r="I112" s="29">
        <f>(Table1[[#This Row],[SALE PRICE]]-Table1[[#This Row],[COST PRICE]])/Table1[[#This Row],[SALE PRICE]]</f>
        <v>0.17341772151898732</v>
      </c>
      <c r="J112" s="26" t="str">
        <f>IF(Table1[[#This Row],[MARGIN]]&lt;25%, "REVIEW", "OK")</f>
        <v>REVIEW</v>
      </c>
    </row>
    <row r="113" spans="1:10" ht="15.6" x14ac:dyDescent="0.3">
      <c r="A113" s="17" t="s">
        <v>190</v>
      </c>
      <c r="B113" s="12" t="s">
        <v>191</v>
      </c>
      <c r="C113" s="12" t="s">
        <v>1427</v>
      </c>
      <c r="D113" s="10" t="s">
        <v>8</v>
      </c>
      <c r="E113" s="10" t="s">
        <v>8</v>
      </c>
      <c r="F113" s="12" t="s">
        <v>8</v>
      </c>
      <c r="G113" s="46">
        <v>10.79</v>
      </c>
      <c r="H113" s="46" cm="1">
        <f t="array" ref="H113">ROUND(G113*IF(OR(MID(A113,5,3)={"BFF","PRK","FPL","LMB","FFI","MET","RIC","FLR","SUG","OIL","DRK","JCE","FEG"}),1.21,IF(OR(MID(A113,5,3)={"FVG","FFR"}),1.33,IF(OR(MID(A113,5,3)={"FBT","FCH","FMK","FYG","MLK","ICE","FRV","FPO","FRF","FCC","BRD"}),1.28,IF(OR(MID(A113,5,3)={"BIS","CRP","HRB","TUR","IND","HYG"}),1.38,1.31)))),2)</f>
        <v>13.06</v>
      </c>
      <c r="I113" s="27">
        <f>(Table1[[#This Row],[SALE PRICE]]-Table1[[#This Row],[COST PRICE]])/Table1[[#This Row],[SALE PRICE]]</f>
        <v>0.17381316998468616</v>
      </c>
      <c r="J113" s="27" t="str">
        <f>IF(Table1[[#This Row],[MARGIN]]&lt;25%, "REVIEW", "OK")</f>
        <v>REVIEW</v>
      </c>
    </row>
    <row r="114" spans="1:10" ht="15.6" x14ac:dyDescent="0.3">
      <c r="A114" s="18" t="s">
        <v>192</v>
      </c>
      <c r="B114" s="13" t="s">
        <v>193</v>
      </c>
      <c r="C114" s="13" t="s">
        <v>1430</v>
      </c>
      <c r="D114" s="11" t="s">
        <v>8</v>
      </c>
      <c r="E114" s="11" t="s">
        <v>8</v>
      </c>
      <c r="F114" s="13" t="s">
        <v>8</v>
      </c>
      <c r="G114" s="47">
        <v>8.59</v>
      </c>
      <c r="H114" s="47" cm="1">
        <f t="array" ref="H114">ROUND(G114*IF(OR(MID(A114,5,3)={"BFF","PRK","FPL","LMB","FFI","MET","RIC","FLR","SUG","OIL","DRK","JCE","FEG"}),1.21,IF(OR(MID(A114,5,3)={"FVG","FFR"}),1.33,IF(OR(MID(A114,5,3)={"FBT","FCH","FMK","FYG","MLK","ICE","FRV","FPO","FRF","FCC","BRD"}),1.28,IF(OR(MID(A114,5,3)={"BIS","CRP","HRB","TUR","IND","HYG"}),1.38,1.31)))),2)</f>
        <v>10.39</v>
      </c>
      <c r="I114" s="29">
        <f>(Table1[[#This Row],[SALE PRICE]]-Table1[[#This Row],[COST PRICE]])/Table1[[#This Row],[SALE PRICE]]</f>
        <v>0.17324350336862374</v>
      </c>
      <c r="J114" s="26" t="str">
        <f>IF(Table1[[#This Row],[MARGIN]]&lt;25%, "REVIEW", "OK")</f>
        <v>REVIEW</v>
      </c>
    </row>
    <row r="115" spans="1:10" ht="15.6" x14ac:dyDescent="0.3">
      <c r="A115" s="18" t="s">
        <v>1192</v>
      </c>
      <c r="B115" s="13" t="s">
        <v>1190</v>
      </c>
      <c r="C115" s="13" t="s">
        <v>1427</v>
      </c>
      <c r="D115" s="11"/>
      <c r="E115" s="11"/>
      <c r="F115" s="13"/>
      <c r="G115" s="47">
        <v>19.59</v>
      </c>
      <c r="H115" s="46" cm="1">
        <f t="array" ref="H115">ROUND(G115*IF(OR(MID(A115,5,3)={"BFF","PRK","FPL","LMB","FFI","MET","RIC","FLR","SUG","OIL","DRK","JCE","FEG"}),1.21,IF(OR(MID(A115,5,3)={"FVG","FFR"}),1.33,IF(OR(MID(A115,5,3)={"FBT","FCH","FMK","FYG","MLK","ICE","FRV","FPO","FRF","FCC","BRD"}),1.28,IF(OR(MID(A115,5,3)={"BIS","CRP","HRB","TUR","IND","HYG"}),1.38,1.31)))),2)</f>
        <v>23.7</v>
      </c>
      <c r="I115" s="27">
        <f>(Table1[[#This Row],[SALE PRICE]]-Table1[[#This Row],[COST PRICE]])/Table1[[#This Row],[SALE PRICE]]</f>
        <v>0.17341772151898732</v>
      </c>
      <c r="J115" s="27" t="str">
        <f>IF(Table1[[#This Row],[MARGIN]]&lt;25%, "REVIEW", "OK")</f>
        <v>REVIEW</v>
      </c>
    </row>
    <row r="116" spans="1:10" ht="15.6" x14ac:dyDescent="0.3">
      <c r="A116" s="18" t="s">
        <v>1193</v>
      </c>
      <c r="B116" s="13" t="s">
        <v>1191</v>
      </c>
      <c r="C116" s="13" t="s">
        <v>1432</v>
      </c>
      <c r="D116" s="11"/>
      <c r="E116" s="11"/>
      <c r="F116" s="13"/>
      <c r="G116" s="47">
        <v>16.989999999999998</v>
      </c>
      <c r="H116" s="47" cm="1">
        <f t="array" ref="H116">ROUND(G116*IF(OR(MID(A116,5,3)={"BFF","PRK","FPL","LMB","FFI","MET","RIC","FLR","SUG","OIL","DRK","JCE","FEG"}),1.21,IF(OR(MID(A116,5,3)={"FVG","FFR"}),1.33,IF(OR(MID(A116,5,3)={"FBT","FCH","FMK","FYG","MLK","ICE","FRV","FPO","FRF","FCC","BRD"}),1.28,IF(OR(MID(A116,5,3)={"BIS","CRP","HRB","TUR","IND","HYG"}),1.38,1.31)))),2)</f>
        <v>20.56</v>
      </c>
      <c r="I116" s="29">
        <f>(Table1[[#This Row],[SALE PRICE]]-Table1[[#This Row],[COST PRICE]])/Table1[[#This Row],[SALE PRICE]]</f>
        <v>0.17363813229571987</v>
      </c>
      <c r="J116" s="26" t="str">
        <f>IF(Table1[[#This Row],[MARGIN]]&lt;25%, "REVIEW", "OK")</f>
        <v>REVIEW</v>
      </c>
    </row>
    <row r="117" spans="1:10" s="1" customFormat="1" ht="15.6" x14ac:dyDescent="0.3">
      <c r="A117" s="16" t="s">
        <v>194</v>
      </c>
      <c r="B117" s="2" t="s">
        <v>8</v>
      </c>
      <c r="C117" s="2"/>
      <c r="D117" s="2" t="s">
        <v>8</v>
      </c>
      <c r="E117" s="2" t="s">
        <v>8</v>
      </c>
      <c r="F117" s="2" t="s">
        <v>8</v>
      </c>
      <c r="G117" s="48" t="s">
        <v>8</v>
      </c>
      <c r="H117" s="48" t="e" cm="1">
        <f t="array" ref="H117">ROUND(G117*IF(OR(MID(A117,5,3)={"BFF","PRK","FPL","LMB","FFI","MET","RIC","FLR","SUG","OIL","DRK","JCE","FEG"}),1.21,IF(OR(MID(A117,5,3)={"FVG","FFR"}),1.33,IF(OR(MID(A117,5,3)={"FBT","FCH","FMK","FYG","MLK","ICE","FRV","FPO","FRF","FCC","BRD"}),1.28,IF(OR(MID(A117,5,3)={"BIS","CRP","HRB","TUR","IND","HYG"}),1.38,1.31)))),2)</f>
        <v>#VALUE!</v>
      </c>
      <c r="I117" s="19"/>
      <c r="J117" s="19"/>
    </row>
    <row r="118" spans="1:10" ht="15.6" x14ac:dyDescent="0.3">
      <c r="A118" s="17" t="s">
        <v>195</v>
      </c>
      <c r="B118" s="12" t="s">
        <v>196</v>
      </c>
      <c r="C118" s="12" t="s">
        <v>1432</v>
      </c>
      <c r="D118" s="10" t="s">
        <v>8</v>
      </c>
      <c r="E118" s="10" t="s">
        <v>8</v>
      </c>
      <c r="F118" s="12" t="s">
        <v>8</v>
      </c>
      <c r="G118" s="46">
        <v>8.99</v>
      </c>
      <c r="H118" s="47" cm="1">
        <f t="array" ref="H118">ROUND(G118*IF(OR(MID(A118,5,3)={"BFF","PRK","FPL","LMB","FFI","MET","RIC","FLR","SUG","OIL","DRK","JCE","FEG"}),1.21,IF(OR(MID(A118,5,3)={"FVG","FFR"}),1.33,IF(OR(MID(A118,5,3)={"FBT","FCH","FMK","FYG","MLK","ICE","FRV","FPO","FRF","FCC","BRD"}),1.28,IF(OR(MID(A118,5,3)={"BIS","CRP","HRB","TUR","IND","HYG"}),1.38,1.31)))),2)</f>
        <v>11.78</v>
      </c>
      <c r="I118" s="29">
        <f>(Table1[[#This Row],[SALE PRICE]]-Table1[[#This Row],[COST PRICE]])/Table1[[#This Row],[SALE PRICE]]</f>
        <v>0.23684210526315783</v>
      </c>
      <c r="J118" s="26" t="str">
        <f>IF(Table1[[#This Row],[MARGIN]]&lt;25%, "REVIEW", "OK")</f>
        <v>REVIEW</v>
      </c>
    </row>
    <row r="119" spans="1:10" ht="15.6" x14ac:dyDescent="0.3">
      <c r="A119" s="18" t="s">
        <v>197</v>
      </c>
      <c r="B119" s="13" t="s">
        <v>198</v>
      </c>
      <c r="C119" s="13" t="s">
        <v>1432</v>
      </c>
      <c r="D119" s="11" t="s">
        <v>8</v>
      </c>
      <c r="E119" s="11" t="s">
        <v>8</v>
      </c>
      <c r="F119" s="13" t="s">
        <v>8</v>
      </c>
      <c r="G119" s="47">
        <v>1.5</v>
      </c>
      <c r="H119" s="46" cm="1">
        <f t="array" ref="H119">ROUND(G119*IF(OR(MID(A119,5,3)={"BFF","PRK","FPL","LMB","FFI","MET","RIC","FLR","SUG","OIL","DRK","JCE","FEG"}),1.21,IF(OR(MID(A119,5,3)={"FVG","FFR"}),1.33,IF(OR(MID(A119,5,3)={"FBT","FCH","FMK","FYG","MLK","ICE","FRV","FPO","FRF","FCC","BRD"}),1.28,IF(OR(MID(A119,5,3)={"BIS","CRP","HRB","TUR","IND","HYG"}),1.38,1.31)))),2)</f>
        <v>1.97</v>
      </c>
      <c r="I119" s="27">
        <f>(Table1[[#This Row],[SALE PRICE]]-Table1[[#This Row],[COST PRICE]])/Table1[[#This Row],[SALE PRICE]]</f>
        <v>0.23857868020304568</v>
      </c>
      <c r="J119" s="27" t="str">
        <f>IF(Table1[[#This Row],[MARGIN]]&lt;25%, "REVIEW", "OK")</f>
        <v>REVIEW</v>
      </c>
    </row>
    <row r="120" spans="1:10" ht="15.6" x14ac:dyDescent="0.3">
      <c r="A120" s="17" t="s">
        <v>199</v>
      </c>
      <c r="B120" s="12" t="s">
        <v>200</v>
      </c>
      <c r="C120" s="12" t="s">
        <v>1432</v>
      </c>
      <c r="D120" s="10" t="s">
        <v>8</v>
      </c>
      <c r="E120" s="10" t="s">
        <v>8</v>
      </c>
      <c r="F120" s="12" t="s">
        <v>8</v>
      </c>
      <c r="G120" s="46">
        <v>8.99</v>
      </c>
      <c r="H120" s="47" cm="1">
        <f t="array" ref="H120">ROUND(G120*IF(OR(MID(A120,5,3)={"BFF","PRK","FPL","LMB","FFI","MET","RIC","FLR","SUG","OIL","DRK","JCE","FEG"}),1.21,IF(OR(MID(A120,5,3)={"FVG","FFR"}),1.33,IF(OR(MID(A120,5,3)={"FBT","FCH","FMK","FYG","MLK","ICE","FRV","FPO","FRF","FCC","BRD"}),1.28,IF(OR(MID(A120,5,3)={"BIS","CRP","HRB","TUR","IND","HYG"}),1.38,1.31)))),2)</f>
        <v>11.78</v>
      </c>
      <c r="I120" s="29">
        <f>(Table1[[#This Row],[SALE PRICE]]-Table1[[#This Row],[COST PRICE]])/Table1[[#This Row],[SALE PRICE]]</f>
        <v>0.23684210526315783</v>
      </c>
      <c r="J120" s="26" t="str">
        <f>IF(Table1[[#This Row],[MARGIN]]&lt;25%, "REVIEW", "OK")</f>
        <v>REVIEW</v>
      </c>
    </row>
    <row r="121" spans="1:10" ht="15.6" x14ac:dyDescent="0.3">
      <c r="A121" s="18" t="s">
        <v>201</v>
      </c>
      <c r="B121" s="13" t="s">
        <v>202</v>
      </c>
      <c r="C121" s="13" t="s">
        <v>1432</v>
      </c>
      <c r="D121" s="11" t="s">
        <v>8</v>
      </c>
      <c r="E121" s="11" t="s">
        <v>8</v>
      </c>
      <c r="F121" s="13" t="s">
        <v>8</v>
      </c>
      <c r="G121" s="47">
        <v>8.99</v>
      </c>
      <c r="H121" s="46" cm="1">
        <f t="array" ref="H121">ROUND(G121*IF(OR(MID(A121,5,3)={"BFF","PRK","FPL","LMB","FFI","MET","RIC","FLR","SUG","OIL","DRK","JCE","FEG"}),1.21,IF(OR(MID(A121,5,3)={"FVG","FFR"}),1.33,IF(OR(MID(A121,5,3)={"FBT","FCH","FMK","FYG","MLK","ICE","FRV","FPO","FRF","FCC","BRD"}),1.28,IF(OR(MID(A121,5,3)={"BIS","CRP","HRB","TUR","IND","HYG"}),1.38,1.31)))),2)</f>
        <v>11.78</v>
      </c>
      <c r="I121" s="27">
        <f>(Table1[[#This Row],[SALE PRICE]]-Table1[[#This Row],[COST PRICE]])/Table1[[#This Row],[SALE PRICE]]</f>
        <v>0.23684210526315783</v>
      </c>
      <c r="J121" s="27" t="str">
        <f>IF(Table1[[#This Row],[MARGIN]]&lt;25%, "REVIEW", "OK")</f>
        <v>REVIEW</v>
      </c>
    </row>
    <row r="122" spans="1:10" ht="15.6" x14ac:dyDescent="0.3">
      <c r="A122" s="17" t="s">
        <v>203</v>
      </c>
      <c r="B122" s="12" t="s">
        <v>204</v>
      </c>
      <c r="C122" s="12" t="s">
        <v>1432</v>
      </c>
      <c r="D122" s="10" t="s">
        <v>8</v>
      </c>
      <c r="E122" s="10" t="s">
        <v>8</v>
      </c>
      <c r="F122" s="12" t="s">
        <v>8</v>
      </c>
      <c r="G122" s="46">
        <v>8.99</v>
      </c>
      <c r="H122" s="47" cm="1">
        <f t="array" ref="H122">ROUND(G122*IF(OR(MID(A122,5,3)={"BFF","PRK","FPL","LMB","FFI","MET","RIC","FLR","SUG","OIL","DRK","JCE","FEG"}),1.21,IF(OR(MID(A122,5,3)={"FVG","FFR"}),1.33,IF(OR(MID(A122,5,3)={"FBT","FCH","FMK","FYG","MLK","ICE","FRV","FPO","FRF","FCC","BRD"}),1.28,IF(OR(MID(A122,5,3)={"BIS","CRP","HRB","TUR","IND","HYG"}),1.38,1.31)))),2)</f>
        <v>11.78</v>
      </c>
      <c r="I122" s="29">
        <f>(Table1[[#This Row],[SALE PRICE]]-Table1[[#This Row],[COST PRICE]])/Table1[[#This Row],[SALE PRICE]]</f>
        <v>0.23684210526315783</v>
      </c>
      <c r="J122" s="26" t="str">
        <f>IF(Table1[[#This Row],[MARGIN]]&lt;25%, "REVIEW", "OK")</f>
        <v>REVIEW</v>
      </c>
    </row>
    <row r="123" spans="1:10" ht="15.6" x14ac:dyDescent="0.3">
      <c r="A123" s="18" t="s">
        <v>205</v>
      </c>
      <c r="B123" s="13" t="s">
        <v>206</v>
      </c>
      <c r="C123" s="13" t="s">
        <v>1427</v>
      </c>
      <c r="D123" s="11" t="s">
        <v>8</v>
      </c>
      <c r="E123" s="11" t="s">
        <v>8</v>
      </c>
      <c r="F123" s="13" t="s">
        <v>8</v>
      </c>
      <c r="G123" s="47">
        <v>24.99</v>
      </c>
      <c r="H123" s="46" cm="1">
        <f t="array" ref="H123">ROUND(G123*IF(OR(MID(A123,5,3)={"BFF","PRK","FPL","LMB","FFI","MET","RIC","FLR","SUG","OIL","DRK","JCE","FEG"}),1.21,IF(OR(MID(A123,5,3)={"FVG","FFR"}),1.33,IF(OR(MID(A123,5,3)={"FBT","FCH","FMK","FYG","MLK","ICE","FRV","FPO","FRF","FCC","BRD"}),1.28,IF(OR(MID(A123,5,3)={"BIS","CRP","HRB","TUR","IND","HYG"}),1.38,1.31)))),2)</f>
        <v>32.74</v>
      </c>
      <c r="I123" s="27">
        <f>(Table1[[#This Row],[SALE PRICE]]-Table1[[#This Row],[COST PRICE]])/Table1[[#This Row],[SALE PRICE]]</f>
        <v>0.23671350030543686</v>
      </c>
      <c r="J123" s="27" t="str">
        <f>IF(Table1[[#This Row],[MARGIN]]&lt;25%, "REVIEW", "OK")</f>
        <v>REVIEW</v>
      </c>
    </row>
    <row r="124" spans="1:10" ht="15.6" x14ac:dyDescent="0.3">
      <c r="A124" s="17" t="s">
        <v>207</v>
      </c>
      <c r="B124" s="12" t="s">
        <v>208</v>
      </c>
      <c r="C124" s="12" t="s">
        <v>1427</v>
      </c>
      <c r="D124" s="10" t="s">
        <v>8</v>
      </c>
      <c r="E124" s="10" t="s">
        <v>8</v>
      </c>
      <c r="F124" s="12" t="s">
        <v>8</v>
      </c>
      <c r="G124" s="46">
        <v>7.15</v>
      </c>
      <c r="H124" s="47" cm="1">
        <f t="array" ref="H124">ROUND(G124*IF(OR(MID(A124,5,3)={"BFF","PRK","FPL","LMB","FFI","MET","RIC","FLR","SUG","OIL","DRK","JCE","FEG"}),1.21,IF(OR(MID(A124,5,3)={"FVG","FFR"}),1.33,IF(OR(MID(A124,5,3)={"FBT","FCH","FMK","FYG","MLK","ICE","FRV","FPO","FRF","FCC","BRD"}),1.28,IF(OR(MID(A124,5,3)={"BIS","CRP","HRB","TUR","IND","HYG"}),1.38,1.31)))),2)</f>
        <v>9.3699999999999992</v>
      </c>
      <c r="I124" s="29">
        <f>(Table1[[#This Row],[SALE PRICE]]-Table1[[#This Row],[COST PRICE]])/Table1[[#This Row],[SALE PRICE]]</f>
        <v>0.23692636072572029</v>
      </c>
      <c r="J124" s="26" t="str">
        <f>IF(Table1[[#This Row],[MARGIN]]&lt;25%, "REVIEW", "OK")</f>
        <v>REVIEW</v>
      </c>
    </row>
    <row r="125" spans="1:10" ht="15.6" x14ac:dyDescent="0.3">
      <c r="A125" s="18" t="s">
        <v>209</v>
      </c>
      <c r="B125" s="13" t="s">
        <v>210</v>
      </c>
      <c r="C125" s="13" t="s">
        <v>1432</v>
      </c>
      <c r="D125" s="11" t="s">
        <v>8</v>
      </c>
      <c r="E125" s="11" t="s">
        <v>8</v>
      </c>
      <c r="F125" s="13" t="s">
        <v>8</v>
      </c>
      <c r="G125" s="47">
        <v>8.99</v>
      </c>
      <c r="H125" s="46" cm="1">
        <f t="array" ref="H125">ROUND(G125*IF(OR(MID(A125,5,3)={"BFF","PRK","FPL","LMB","FFI","MET","RIC","FLR","SUG","OIL","DRK","JCE","FEG"}),1.21,IF(OR(MID(A125,5,3)={"FVG","FFR"}),1.33,IF(OR(MID(A125,5,3)={"FBT","FCH","FMK","FYG","MLK","ICE","FRV","FPO","FRF","FCC","BRD"}),1.28,IF(OR(MID(A125,5,3)={"BIS","CRP","HRB","TUR","IND","HYG"}),1.38,1.31)))),2)</f>
        <v>11.78</v>
      </c>
      <c r="I125" s="27">
        <f>(Table1[[#This Row],[SALE PRICE]]-Table1[[#This Row],[COST PRICE]])/Table1[[#This Row],[SALE PRICE]]</f>
        <v>0.23684210526315783</v>
      </c>
      <c r="J125" s="27" t="str">
        <f>IF(Table1[[#This Row],[MARGIN]]&lt;25%, "REVIEW", "OK")</f>
        <v>REVIEW</v>
      </c>
    </row>
    <row r="126" spans="1:10" ht="15.6" x14ac:dyDescent="0.3">
      <c r="A126" s="17" t="s">
        <v>211</v>
      </c>
      <c r="B126" s="12" t="s">
        <v>212</v>
      </c>
      <c r="C126" s="12" t="s">
        <v>1432</v>
      </c>
      <c r="D126" s="10" t="s">
        <v>8</v>
      </c>
      <c r="E126" s="10" t="s">
        <v>8</v>
      </c>
      <c r="F126" s="12" t="s">
        <v>8</v>
      </c>
      <c r="G126" s="46">
        <v>8.99</v>
      </c>
      <c r="H126" s="47" cm="1">
        <f t="array" ref="H126">ROUND(G126*IF(OR(MID(A126,5,3)={"BFF","PRK","FPL","LMB","FFI","MET","RIC","FLR","SUG","OIL","DRK","JCE","FEG"}),1.21,IF(OR(MID(A126,5,3)={"FVG","FFR"}),1.33,IF(OR(MID(A126,5,3)={"FBT","FCH","FMK","FYG","MLK","ICE","FRV","FPO","FRF","FCC","BRD"}),1.28,IF(OR(MID(A126,5,3)={"BIS","CRP","HRB","TUR","IND","HYG"}),1.38,1.31)))),2)</f>
        <v>11.78</v>
      </c>
      <c r="I126" s="29">
        <f>(Table1[[#This Row],[SALE PRICE]]-Table1[[#This Row],[COST PRICE]])/Table1[[#This Row],[SALE PRICE]]</f>
        <v>0.23684210526315783</v>
      </c>
      <c r="J126" s="26" t="str">
        <f>IF(Table1[[#This Row],[MARGIN]]&lt;25%, "REVIEW", "OK")</f>
        <v>REVIEW</v>
      </c>
    </row>
    <row r="127" spans="1:10" s="1" customFormat="1" ht="15.6" x14ac:dyDescent="0.3">
      <c r="A127" s="16" t="s">
        <v>213</v>
      </c>
      <c r="B127" s="2" t="s">
        <v>8</v>
      </c>
      <c r="C127" s="2"/>
      <c r="D127" s="2" t="s">
        <v>8</v>
      </c>
      <c r="E127" s="2" t="s">
        <v>8</v>
      </c>
      <c r="F127" s="2" t="s">
        <v>8</v>
      </c>
      <c r="G127" s="48" t="s">
        <v>8</v>
      </c>
      <c r="H127" s="48" t="e" cm="1">
        <f t="array" ref="H127">ROUND(G127*IF(OR(MID(A127,5,3)={"BFF","PRK","FPL","LMB","FFI","MET","RIC","FLR","SUG","OIL","DRK","JCE","FEG"}),1.21,IF(OR(MID(A127,5,3)={"FVG","FFR"}),1.33,IF(OR(MID(A127,5,3)={"FBT","FCH","FMK","FYG","MLK","ICE","FRV","FPO","FRF","FCC","BRD"}),1.28,IF(OR(MID(A127,5,3)={"BIS","CRP","HRB","TUR","IND","HYG"}),1.38,1.31)))),2)</f>
        <v>#VALUE!</v>
      </c>
      <c r="I127" s="19"/>
      <c r="J127" s="19"/>
    </row>
    <row r="128" spans="1:10" ht="15.6" x14ac:dyDescent="0.3">
      <c r="A128" s="18" t="s">
        <v>214</v>
      </c>
      <c r="B128" s="13" t="s">
        <v>215</v>
      </c>
      <c r="C128" s="13" t="s">
        <v>1427</v>
      </c>
      <c r="D128" s="11" t="s">
        <v>8</v>
      </c>
      <c r="E128" s="11" t="s">
        <v>8</v>
      </c>
      <c r="F128" s="13" t="s">
        <v>8</v>
      </c>
      <c r="G128" s="47">
        <v>19.989999999999998</v>
      </c>
      <c r="H128" s="47" cm="1">
        <f t="array" ref="H128">ROUND(G128*IF(OR(MID(A128,5,3)={"BFF","PRK","FPL","LMB","FFI","MET","RIC","FLR","SUG","OIL","DRK","JCE","FEG"}),1.21,IF(OR(MID(A128,5,3)={"FVG","FFR"}),1.33,IF(OR(MID(A128,5,3)={"FBT","FCH","FMK","FYG","MLK","ICE","FRV","FPO","FRF","FCC","BRD"}),1.28,IF(OR(MID(A128,5,3)={"BIS","CRP","HRB","TUR","IND","HYG"}),1.38,1.31)))),2)</f>
        <v>26.19</v>
      </c>
      <c r="I128" s="29">
        <f>(Table1[[#This Row],[SALE PRICE]]-Table1[[#This Row],[COST PRICE]])/Table1[[#This Row],[SALE PRICE]]</f>
        <v>0.23673157693776259</v>
      </c>
      <c r="J128" s="26" t="str">
        <f>IF(Table1[[#This Row],[MARGIN]]&lt;25%, "REVIEW", "OK")</f>
        <v>REVIEW</v>
      </c>
    </row>
    <row r="129" spans="1:10" ht="15.6" x14ac:dyDescent="0.3">
      <c r="A129" s="17" t="s">
        <v>216</v>
      </c>
      <c r="B129" s="12" t="s">
        <v>217</v>
      </c>
      <c r="C129" s="12" t="s">
        <v>1427</v>
      </c>
      <c r="D129" s="10" t="s">
        <v>8</v>
      </c>
      <c r="E129" s="10" t="s">
        <v>8</v>
      </c>
      <c r="F129" s="12" t="s">
        <v>8</v>
      </c>
      <c r="G129" s="46">
        <v>14.99</v>
      </c>
      <c r="H129" s="46" cm="1">
        <f t="array" ref="H129">ROUND(G129*IF(OR(MID(A129,5,3)={"BFF","PRK","FPL","LMB","FFI","MET","RIC","FLR","SUG","OIL","DRK","JCE","FEG"}),1.21,IF(OR(MID(A129,5,3)={"FVG","FFR"}),1.33,IF(OR(MID(A129,5,3)={"FBT","FCH","FMK","FYG","MLK","ICE","FRV","FPO","FRF","FCC","BRD"}),1.28,IF(OR(MID(A129,5,3)={"BIS","CRP","HRB","TUR","IND","HYG"}),1.38,1.31)))),2)</f>
        <v>19.64</v>
      </c>
      <c r="I129" s="27">
        <f>(Table1[[#This Row],[SALE PRICE]]-Table1[[#This Row],[COST PRICE]])/Table1[[#This Row],[SALE PRICE]]</f>
        <v>0.23676171079429736</v>
      </c>
      <c r="J129" s="27" t="str">
        <f>IF(Table1[[#This Row],[MARGIN]]&lt;25%, "REVIEW", "OK")</f>
        <v>REVIEW</v>
      </c>
    </row>
    <row r="130" spans="1:10" ht="15.6" x14ac:dyDescent="0.3">
      <c r="A130" s="18" t="s">
        <v>218</v>
      </c>
      <c r="B130" s="13" t="s">
        <v>219</v>
      </c>
      <c r="C130" s="13" t="s">
        <v>1434</v>
      </c>
      <c r="D130" s="11" t="s">
        <v>8</v>
      </c>
      <c r="E130" s="11" t="s">
        <v>8</v>
      </c>
      <c r="F130" s="13" t="s">
        <v>8</v>
      </c>
      <c r="G130" s="47">
        <v>9.49</v>
      </c>
      <c r="H130" s="47" cm="1">
        <f t="array" ref="H130">ROUND(G130*IF(OR(MID(A130,5,3)={"BFF","PRK","FPL","LMB","FFI","MET","RIC","FLR","SUG","OIL","DRK","JCE","FEG"}),1.21,IF(OR(MID(A130,5,3)={"FVG","FFR"}),1.33,IF(OR(MID(A130,5,3)={"FBT","FCH","FMK","FYG","MLK","ICE","FRV","FPO","FRF","FCC","BRD"}),1.28,IF(OR(MID(A130,5,3)={"BIS","CRP","HRB","TUR","IND","HYG"}),1.38,1.31)))),2)</f>
        <v>12.43</v>
      </c>
      <c r="I130" s="29">
        <f>(Table1[[#This Row],[SALE PRICE]]-Table1[[#This Row],[COST PRICE]])/Table1[[#This Row],[SALE PRICE]]</f>
        <v>0.23652453740949314</v>
      </c>
      <c r="J130" s="26" t="str">
        <f>IF(Table1[[#This Row],[MARGIN]]&lt;25%, "REVIEW", "OK")</f>
        <v>REVIEW</v>
      </c>
    </row>
    <row r="131" spans="1:10" ht="15.6" x14ac:dyDescent="0.3">
      <c r="A131" s="17" t="s">
        <v>220</v>
      </c>
      <c r="B131" s="12" t="s">
        <v>221</v>
      </c>
      <c r="C131" s="12" t="s">
        <v>1434</v>
      </c>
      <c r="D131" s="10" t="s">
        <v>8</v>
      </c>
      <c r="E131" s="10" t="s">
        <v>8</v>
      </c>
      <c r="F131" s="12" t="s">
        <v>8</v>
      </c>
      <c r="G131" s="46">
        <v>14.99</v>
      </c>
      <c r="H131" s="46" cm="1">
        <f t="array" ref="H131">ROUND(G131*IF(OR(MID(A131,5,3)={"BFF","PRK","FPL","LMB","FFI","MET","RIC","FLR","SUG","OIL","DRK","JCE","FEG"}),1.21,IF(OR(MID(A131,5,3)={"FVG","FFR"}),1.33,IF(OR(MID(A131,5,3)={"FBT","FCH","FMK","FYG","MLK","ICE","FRV","FPO","FRF","FCC","BRD"}),1.28,IF(OR(MID(A131,5,3)={"BIS","CRP","HRB","TUR","IND","HYG"}),1.38,1.31)))),2)</f>
        <v>19.64</v>
      </c>
      <c r="I131" s="27">
        <f>(Table1[[#This Row],[SALE PRICE]]-Table1[[#This Row],[COST PRICE]])/Table1[[#This Row],[SALE PRICE]]</f>
        <v>0.23676171079429736</v>
      </c>
      <c r="J131" s="27" t="str">
        <f>IF(Table1[[#This Row],[MARGIN]]&lt;25%, "REVIEW", "OK")</f>
        <v>REVIEW</v>
      </c>
    </row>
    <row r="132" spans="1:10" ht="15.6" x14ac:dyDescent="0.3">
      <c r="A132" s="18" t="s">
        <v>222</v>
      </c>
      <c r="B132" s="13" t="s">
        <v>223</v>
      </c>
      <c r="C132" s="13" t="s">
        <v>1427</v>
      </c>
      <c r="D132" s="11" t="s">
        <v>8</v>
      </c>
      <c r="E132" s="11" t="s">
        <v>8</v>
      </c>
      <c r="F132" s="13" t="s">
        <v>8</v>
      </c>
      <c r="G132" s="47">
        <v>9.19</v>
      </c>
      <c r="H132" s="47" cm="1">
        <f t="array" ref="H132">ROUND(G132*IF(OR(MID(A132,5,3)={"BFF","PRK","FPL","LMB","FFI","MET","RIC","FLR","SUG","OIL","DRK","JCE","FEG"}),1.21,IF(OR(MID(A132,5,3)={"FVG","FFR"}),1.33,IF(OR(MID(A132,5,3)={"FBT","FCH","FMK","FYG","MLK","ICE","FRV","FPO","FRF","FCC","BRD"}),1.28,IF(OR(MID(A132,5,3)={"BIS","CRP","HRB","TUR","IND","HYG"}),1.38,1.31)))),2)</f>
        <v>12.04</v>
      </c>
      <c r="I132" s="29">
        <f>(Table1[[#This Row],[SALE PRICE]]-Table1[[#This Row],[COST PRICE]])/Table1[[#This Row],[SALE PRICE]]</f>
        <v>0.2367109634551495</v>
      </c>
      <c r="J132" s="26" t="str">
        <f>IF(Table1[[#This Row],[MARGIN]]&lt;25%, "REVIEW", "OK")</f>
        <v>REVIEW</v>
      </c>
    </row>
    <row r="133" spans="1:10" ht="15.6" x14ac:dyDescent="0.3">
      <c r="A133" s="17" t="s">
        <v>224</v>
      </c>
      <c r="B133" s="12" t="s">
        <v>225</v>
      </c>
      <c r="C133" s="12" t="s">
        <v>1427</v>
      </c>
      <c r="D133" s="10" t="s">
        <v>8</v>
      </c>
      <c r="E133" s="10" t="s">
        <v>8</v>
      </c>
      <c r="F133" s="12" t="s">
        <v>8</v>
      </c>
      <c r="G133" s="46">
        <v>14.99</v>
      </c>
      <c r="H133" s="46" cm="1">
        <f t="array" ref="H133">ROUND(G133*IF(OR(MID(A133,5,3)={"BFF","PRK","FPL","LMB","FFI","MET","RIC","FLR","SUG","OIL","DRK","JCE","FEG"}),1.21,IF(OR(MID(A133,5,3)={"FVG","FFR"}),1.33,IF(OR(MID(A133,5,3)={"FBT","FCH","FMK","FYG","MLK","ICE","FRV","FPO","FRF","FCC","BRD"}),1.28,IF(OR(MID(A133,5,3)={"BIS","CRP","HRB","TUR","IND","HYG"}),1.38,1.31)))),2)</f>
        <v>19.64</v>
      </c>
      <c r="I133" s="27">
        <f>(Table1[[#This Row],[SALE PRICE]]-Table1[[#This Row],[COST PRICE]])/Table1[[#This Row],[SALE PRICE]]</f>
        <v>0.23676171079429736</v>
      </c>
      <c r="J133" s="27" t="str">
        <f>IF(Table1[[#This Row],[MARGIN]]&lt;25%, "REVIEW", "OK")</f>
        <v>REVIEW</v>
      </c>
    </row>
    <row r="134" spans="1:10" ht="15.6" x14ac:dyDescent="0.3">
      <c r="A134" s="18" t="s">
        <v>226</v>
      </c>
      <c r="B134" s="13" t="s">
        <v>227</v>
      </c>
      <c r="C134" s="13" t="s">
        <v>1434</v>
      </c>
      <c r="D134" s="11" t="s">
        <v>8</v>
      </c>
      <c r="E134" s="11" t="s">
        <v>8</v>
      </c>
      <c r="F134" s="13" t="s">
        <v>8</v>
      </c>
      <c r="G134" s="47">
        <v>6.99</v>
      </c>
      <c r="H134" s="47" cm="1">
        <f t="array" ref="H134">ROUND(G134*IF(OR(MID(A134,5,3)={"BFF","PRK","FPL","LMB","FFI","MET","RIC","FLR","SUG","OIL","DRK","JCE","FEG"}),1.21,IF(OR(MID(A134,5,3)={"FVG","FFR"}),1.33,IF(OR(MID(A134,5,3)={"FBT","FCH","FMK","FYG","MLK","ICE","FRV","FPO","FRF","FCC","BRD"}),1.28,IF(OR(MID(A134,5,3)={"BIS","CRP","HRB","TUR","IND","HYG"}),1.38,1.31)))),2)</f>
        <v>9.16</v>
      </c>
      <c r="I134" s="29">
        <f>(Table1[[#This Row],[SALE PRICE]]-Table1[[#This Row],[COST PRICE]])/Table1[[#This Row],[SALE PRICE]]</f>
        <v>0.23689956331877729</v>
      </c>
      <c r="J134" s="26" t="str">
        <f>IF(Table1[[#This Row],[MARGIN]]&lt;25%, "REVIEW", "OK")</f>
        <v>REVIEW</v>
      </c>
    </row>
    <row r="135" spans="1:10" ht="15.6" x14ac:dyDescent="0.3">
      <c r="A135" s="18" t="s">
        <v>228</v>
      </c>
      <c r="B135" s="13" t="s">
        <v>1421</v>
      </c>
      <c r="C135" s="13" t="s">
        <v>1434</v>
      </c>
      <c r="D135" s="11"/>
      <c r="E135" s="11"/>
      <c r="F135" s="13"/>
      <c r="G135" s="47">
        <v>2.99</v>
      </c>
      <c r="H135" s="46" cm="1">
        <f t="array" ref="H135">ROUND(G135*IF(OR(MID(A135,5,3)={"BFF","PRK","FPL","LMB","FFI","MET","RIC","FLR","SUG","OIL","DRK","JCE","FEG"}),1.21,IF(OR(MID(A135,5,3)={"FVG","FFR"}),1.33,IF(OR(MID(A135,5,3)={"FBT","FCH","FMK","FYG","MLK","ICE","FRV","FPO","FRF","FCC","BRD"}),1.28,IF(OR(MID(A135,5,3)={"BIS","CRP","HRB","TUR","IND","HYG"}),1.38,1.31)))),2)</f>
        <v>3.92</v>
      </c>
      <c r="I135" s="27">
        <f>(Table1[[#This Row],[SALE PRICE]]-Table1[[#This Row],[COST PRICE]])/Table1[[#This Row],[SALE PRICE]]</f>
        <v>0.2372448979591836</v>
      </c>
      <c r="J135" s="27" t="str">
        <f>IF(Table1[[#This Row],[MARGIN]]&lt;25%, "REVIEW", "OK")</f>
        <v>REVIEW</v>
      </c>
    </row>
    <row r="136" spans="1:10" ht="15.6" x14ac:dyDescent="0.3">
      <c r="A136" s="18" t="s">
        <v>230</v>
      </c>
      <c r="B136" s="12" t="s">
        <v>229</v>
      </c>
      <c r="C136" s="12" t="s">
        <v>1427</v>
      </c>
      <c r="D136" s="10" t="s">
        <v>8</v>
      </c>
      <c r="E136" s="10" t="s">
        <v>8</v>
      </c>
      <c r="F136" s="12" t="s">
        <v>8</v>
      </c>
      <c r="G136" s="46">
        <v>25.65</v>
      </c>
      <c r="H136" s="47" cm="1">
        <f t="array" ref="H136">ROUND(G136*IF(OR(MID(A136,5,3)={"BFF","PRK","FPL","LMB","FFI","MET","RIC","FLR","SUG","OIL","DRK","JCE","FEG"}),1.21,IF(OR(MID(A136,5,3)={"FVG","FFR"}),1.33,IF(OR(MID(A136,5,3)={"FBT","FCH","FMK","FYG","MLK","ICE","FRV","FPO","FRF","FCC","BRD"}),1.28,IF(OR(MID(A136,5,3)={"BIS","CRP","HRB","TUR","IND","HYG"}),1.38,1.31)))),2)</f>
        <v>33.6</v>
      </c>
      <c r="I136" s="29">
        <f>(Table1[[#This Row],[SALE PRICE]]-Table1[[#This Row],[COST PRICE]])/Table1[[#This Row],[SALE PRICE]]</f>
        <v>0.23660714285714293</v>
      </c>
      <c r="J136" s="26" t="str">
        <f>IF(Table1[[#This Row],[MARGIN]]&lt;25%, "REVIEW", "OK")</f>
        <v>REVIEW</v>
      </c>
    </row>
    <row r="137" spans="1:10" ht="15.6" x14ac:dyDescent="0.3">
      <c r="A137" s="18" t="s">
        <v>232</v>
      </c>
      <c r="B137" s="13" t="s">
        <v>231</v>
      </c>
      <c r="C137" s="13" t="s">
        <v>1427</v>
      </c>
      <c r="D137" s="11" t="s">
        <v>8</v>
      </c>
      <c r="E137" s="11" t="s">
        <v>8</v>
      </c>
      <c r="F137" s="13" t="s">
        <v>8</v>
      </c>
      <c r="G137" s="47">
        <v>6.59</v>
      </c>
      <c r="H137" s="46" cm="1">
        <f t="array" ref="H137">ROUND(G137*IF(OR(MID(A137,5,3)={"BFF","PRK","FPL","LMB","FFI","MET","RIC","FLR","SUG","OIL","DRK","JCE","FEG"}),1.21,IF(OR(MID(A137,5,3)={"FVG","FFR"}),1.33,IF(OR(MID(A137,5,3)={"FBT","FCH","FMK","FYG","MLK","ICE","FRV","FPO","FRF","FCC","BRD"}),1.28,IF(OR(MID(A137,5,3)={"BIS","CRP","HRB","TUR","IND","HYG"}),1.38,1.31)))),2)</f>
        <v>8.6300000000000008</v>
      </c>
      <c r="I137" s="27">
        <f>(Table1[[#This Row],[SALE PRICE]]-Table1[[#This Row],[COST PRICE]])/Table1[[#This Row],[SALE PRICE]]</f>
        <v>0.23638470451911944</v>
      </c>
      <c r="J137" s="27" t="str">
        <f>IF(Table1[[#This Row],[MARGIN]]&lt;25%, "REVIEW", "OK")</f>
        <v>REVIEW</v>
      </c>
    </row>
    <row r="138" spans="1:10" ht="15.6" x14ac:dyDescent="0.3">
      <c r="A138" s="18" t="s">
        <v>234</v>
      </c>
      <c r="B138" s="12" t="s">
        <v>233</v>
      </c>
      <c r="C138" s="12" t="s">
        <v>1434</v>
      </c>
      <c r="D138" s="10" t="s">
        <v>8</v>
      </c>
      <c r="E138" s="10" t="s">
        <v>8</v>
      </c>
      <c r="F138" s="12" t="s">
        <v>8</v>
      </c>
      <c r="G138" s="46">
        <v>9.99</v>
      </c>
      <c r="H138" s="47" cm="1">
        <f t="array" ref="H138">ROUND(G138*IF(OR(MID(A138,5,3)={"BFF","PRK","FPL","LMB","FFI","MET","RIC","FLR","SUG","OIL","DRK","JCE","FEG"}),1.21,IF(OR(MID(A138,5,3)={"FVG","FFR"}),1.33,IF(OR(MID(A138,5,3)={"FBT","FCH","FMK","FYG","MLK","ICE","FRV","FPO","FRF","FCC","BRD"}),1.28,IF(OR(MID(A138,5,3)={"BIS","CRP","HRB","TUR","IND","HYG"}),1.38,1.31)))),2)</f>
        <v>13.09</v>
      </c>
      <c r="I138" s="29">
        <f>(Table1[[#This Row],[SALE PRICE]]-Table1[[#This Row],[COST PRICE]])/Table1[[#This Row],[SALE PRICE]]</f>
        <v>0.23682200152788385</v>
      </c>
      <c r="J138" s="26" t="str">
        <f>IF(Table1[[#This Row],[MARGIN]]&lt;25%, "REVIEW", "OK")</f>
        <v>REVIEW</v>
      </c>
    </row>
    <row r="139" spans="1:10" ht="15.6" x14ac:dyDescent="0.3">
      <c r="A139" s="18" t="s">
        <v>236</v>
      </c>
      <c r="B139" s="13" t="s">
        <v>235</v>
      </c>
      <c r="C139" s="13" t="s">
        <v>1427</v>
      </c>
      <c r="D139" s="11" t="s">
        <v>8</v>
      </c>
      <c r="E139" s="11" t="s">
        <v>8</v>
      </c>
      <c r="F139" s="13" t="s">
        <v>8</v>
      </c>
      <c r="G139" s="47">
        <v>19.989999999999998</v>
      </c>
      <c r="H139" s="46" cm="1">
        <f t="array" ref="H139">ROUND(G139*IF(OR(MID(A139,5,3)={"BFF","PRK","FPL","LMB","FFI","MET","RIC","FLR","SUG","OIL","DRK","JCE","FEG"}),1.21,IF(OR(MID(A139,5,3)={"FVG","FFR"}),1.33,IF(OR(MID(A139,5,3)={"FBT","FCH","FMK","FYG","MLK","ICE","FRV","FPO","FRF","FCC","BRD"}),1.28,IF(OR(MID(A139,5,3)={"BIS","CRP","HRB","TUR","IND","HYG"}),1.38,1.31)))),2)</f>
        <v>26.19</v>
      </c>
      <c r="I139" s="27">
        <f>(Table1[[#This Row],[SALE PRICE]]-Table1[[#This Row],[COST PRICE]])/Table1[[#This Row],[SALE PRICE]]</f>
        <v>0.23673157693776259</v>
      </c>
      <c r="J139" s="27" t="str">
        <f>IF(Table1[[#This Row],[MARGIN]]&lt;25%, "REVIEW", "OK")</f>
        <v>REVIEW</v>
      </c>
    </row>
    <row r="140" spans="1:10" ht="15.6" x14ac:dyDescent="0.3">
      <c r="A140" s="18" t="s">
        <v>238</v>
      </c>
      <c r="B140" s="12" t="s">
        <v>237</v>
      </c>
      <c r="C140" s="12" t="s">
        <v>1427</v>
      </c>
      <c r="D140" s="10" t="s">
        <v>8</v>
      </c>
      <c r="E140" s="10" t="s">
        <v>8</v>
      </c>
      <c r="F140" s="12" t="s">
        <v>8</v>
      </c>
      <c r="G140" s="46">
        <v>8.2899999999999991</v>
      </c>
      <c r="H140" s="47" cm="1">
        <f t="array" ref="H140">ROUND(G140*IF(OR(MID(A140,5,3)={"BFF","PRK","FPL","LMB","FFI","MET","RIC","FLR","SUG","OIL","DRK","JCE","FEG"}),1.21,IF(OR(MID(A140,5,3)={"FVG","FFR"}),1.33,IF(OR(MID(A140,5,3)={"FBT","FCH","FMK","FYG","MLK","ICE","FRV","FPO","FRF","FCC","BRD"}),1.28,IF(OR(MID(A140,5,3)={"BIS","CRP","HRB","TUR","IND","HYG"}),1.38,1.31)))),2)</f>
        <v>10.86</v>
      </c>
      <c r="I140" s="29">
        <f>(Table1[[#This Row],[SALE PRICE]]-Table1[[#This Row],[COST PRICE]])/Table1[[#This Row],[SALE PRICE]]</f>
        <v>0.23664825046040519</v>
      </c>
      <c r="J140" s="26" t="str">
        <f>IF(Table1[[#This Row],[MARGIN]]&lt;25%, "REVIEW", "OK")</f>
        <v>REVIEW</v>
      </c>
    </row>
    <row r="141" spans="1:10" ht="15.6" x14ac:dyDescent="0.3">
      <c r="A141" s="18" t="s">
        <v>240</v>
      </c>
      <c r="B141" s="13" t="s">
        <v>239</v>
      </c>
      <c r="C141" s="13" t="s">
        <v>1427</v>
      </c>
      <c r="D141" s="11" t="s">
        <v>8</v>
      </c>
      <c r="E141" s="11" t="s">
        <v>8</v>
      </c>
      <c r="F141" s="13" t="s">
        <v>8</v>
      </c>
      <c r="G141" s="47">
        <v>14.99</v>
      </c>
      <c r="H141" s="46" cm="1">
        <f t="array" ref="H141">ROUND(G141*IF(OR(MID(A141,5,3)={"BFF","PRK","FPL","LMB","FFI","MET","RIC","FLR","SUG","OIL","DRK","JCE","FEG"}),1.21,IF(OR(MID(A141,5,3)={"FVG","FFR"}),1.33,IF(OR(MID(A141,5,3)={"FBT","FCH","FMK","FYG","MLK","ICE","FRV","FPO","FRF","FCC","BRD"}),1.28,IF(OR(MID(A141,5,3)={"BIS","CRP","HRB","TUR","IND","HYG"}),1.38,1.31)))),2)</f>
        <v>19.64</v>
      </c>
      <c r="I141" s="27">
        <f>(Table1[[#This Row],[SALE PRICE]]-Table1[[#This Row],[COST PRICE]])/Table1[[#This Row],[SALE PRICE]]</f>
        <v>0.23676171079429736</v>
      </c>
      <c r="J141" s="27" t="str">
        <f>IF(Table1[[#This Row],[MARGIN]]&lt;25%, "REVIEW", "OK")</f>
        <v>REVIEW</v>
      </c>
    </row>
    <row r="142" spans="1:10" ht="15.6" x14ac:dyDescent="0.3">
      <c r="A142" s="18" t="s">
        <v>242</v>
      </c>
      <c r="B142" s="12" t="s">
        <v>241</v>
      </c>
      <c r="C142" s="12" t="s">
        <v>1434</v>
      </c>
      <c r="D142" s="10" t="s">
        <v>8</v>
      </c>
      <c r="E142" s="10" t="s">
        <v>8</v>
      </c>
      <c r="F142" s="12" t="s">
        <v>8</v>
      </c>
      <c r="G142" s="46">
        <v>19.190000000000001</v>
      </c>
      <c r="H142" s="47" cm="1">
        <f t="array" ref="H142">ROUND(G142*IF(OR(MID(A142,5,3)={"BFF","PRK","FPL","LMB","FFI","MET","RIC","FLR","SUG","OIL","DRK","JCE","FEG"}),1.21,IF(OR(MID(A142,5,3)={"FVG","FFR"}),1.33,IF(OR(MID(A142,5,3)={"FBT","FCH","FMK","FYG","MLK","ICE","FRV","FPO","FRF","FCC","BRD"}),1.28,IF(OR(MID(A142,5,3)={"BIS","CRP","HRB","TUR","IND","HYG"}),1.38,1.31)))),2)</f>
        <v>25.14</v>
      </c>
      <c r="I142" s="29">
        <f>(Table1[[#This Row],[SALE PRICE]]-Table1[[#This Row],[COST PRICE]])/Table1[[#This Row],[SALE PRICE]]</f>
        <v>0.23667462211614954</v>
      </c>
      <c r="J142" s="26" t="str">
        <f>IF(Table1[[#This Row],[MARGIN]]&lt;25%, "REVIEW", "OK")</f>
        <v>REVIEW</v>
      </c>
    </row>
    <row r="143" spans="1:10" ht="15.6" x14ac:dyDescent="0.3">
      <c r="A143" s="18" t="s">
        <v>244</v>
      </c>
      <c r="B143" s="13" t="s">
        <v>243</v>
      </c>
      <c r="C143" s="13" t="s">
        <v>1427</v>
      </c>
      <c r="D143" s="11" t="s">
        <v>8</v>
      </c>
      <c r="E143" s="11" t="s">
        <v>8</v>
      </c>
      <c r="F143" s="13" t="s">
        <v>8</v>
      </c>
      <c r="G143" s="47">
        <v>13.29</v>
      </c>
      <c r="H143" s="46" cm="1">
        <f t="array" ref="H143">ROUND(G143*IF(OR(MID(A143,5,3)={"BFF","PRK","FPL","LMB","FFI","MET","RIC","FLR","SUG","OIL","DRK","JCE","FEG"}),1.21,IF(OR(MID(A143,5,3)={"FVG","FFR"}),1.33,IF(OR(MID(A143,5,3)={"FBT","FCH","FMK","FYG","MLK","ICE","FRV","FPO","FRF","FCC","BRD"}),1.28,IF(OR(MID(A143,5,3)={"BIS","CRP","HRB","TUR","IND","HYG"}),1.38,1.31)))),2)</f>
        <v>17.41</v>
      </c>
      <c r="I143" s="27">
        <f>(Table1[[#This Row],[SALE PRICE]]-Table1[[#This Row],[COST PRICE]])/Table1[[#This Row],[SALE PRICE]]</f>
        <v>0.23664560597357845</v>
      </c>
      <c r="J143" s="27" t="str">
        <f>IF(Table1[[#This Row],[MARGIN]]&lt;25%, "REVIEW", "OK")</f>
        <v>REVIEW</v>
      </c>
    </row>
    <row r="144" spans="1:10" ht="15.6" x14ac:dyDescent="0.3">
      <c r="A144" s="18" t="s">
        <v>246</v>
      </c>
      <c r="B144" s="12" t="s">
        <v>245</v>
      </c>
      <c r="C144" s="12" t="s">
        <v>1427</v>
      </c>
      <c r="D144" s="10" t="s">
        <v>8</v>
      </c>
      <c r="E144" s="10" t="s">
        <v>8</v>
      </c>
      <c r="F144" s="12" t="s">
        <v>8</v>
      </c>
      <c r="G144" s="46">
        <v>12.49</v>
      </c>
      <c r="H144" s="47" cm="1">
        <f t="array" ref="H144">ROUND(G144*IF(OR(MID(A144,5,3)={"BFF","PRK","FPL","LMB","FFI","MET","RIC","FLR","SUG","OIL","DRK","JCE","FEG"}),1.21,IF(OR(MID(A144,5,3)={"FVG","FFR"}),1.33,IF(OR(MID(A144,5,3)={"FBT","FCH","FMK","FYG","MLK","ICE","FRV","FPO","FRF","FCC","BRD"}),1.28,IF(OR(MID(A144,5,3)={"BIS","CRP","HRB","TUR","IND","HYG"}),1.38,1.31)))),2)</f>
        <v>16.36</v>
      </c>
      <c r="I144" s="29">
        <f>(Table1[[#This Row],[SALE PRICE]]-Table1[[#This Row],[COST PRICE]])/Table1[[#This Row],[SALE PRICE]]</f>
        <v>0.23655256723716378</v>
      </c>
      <c r="J144" s="26" t="str">
        <f>IF(Table1[[#This Row],[MARGIN]]&lt;25%, "REVIEW", "OK")</f>
        <v>REVIEW</v>
      </c>
    </row>
    <row r="145" spans="1:10" ht="15.6" x14ac:dyDescent="0.3">
      <c r="A145" s="18" t="s">
        <v>248</v>
      </c>
      <c r="B145" s="13" t="s">
        <v>247</v>
      </c>
      <c r="C145" s="13" t="s">
        <v>1434</v>
      </c>
      <c r="D145" s="11" t="s">
        <v>8</v>
      </c>
      <c r="E145" s="11" t="s">
        <v>8</v>
      </c>
      <c r="F145" s="13" t="s">
        <v>8</v>
      </c>
      <c r="G145" s="47">
        <v>10.49</v>
      </c>
      <c r="H145" s="46" cm="1">
        <f t="array" ref="H145">ROUND(G145*IF(OR(MID(A145,5,3)={"BFF","PRK","FPL","LMB","FFI","MET","RIC","FLR","SUG","OIL","DRK","JCE","FEG"}),1.21,IF(OR(MID(A145,5,3)={"FVG","FFR"}),1.33,IF(OR(MID(A145,5,3)={"FBT","FCH","FMK","FYG","MLK","ICE","FRV","FPO","FRF","FCC","BRD"}),1.28,IF(OR(MID(A145,5,3)={"BIS","CRP","HRB","TUR","IND","HYG"}),1.38,1.31)))),2)</f>
        <v>13.74</v>
      </c>
      <c r="I145" s="27">
        <f>(Table1[[#This Row],[SALE PRICE]]-Table1[[#This Row],[COST PRICE]])/Table1[[#This Row],[SALE PRICE]]</f>
        <v>0.23653566229985443</v>
      </c>
      <c r="J145" s="27" t="str">
        <f>IF(Table1[[#This Row],[MARGIN]]&lt;25%, "REVIEW", "OK")</f>
        <v>REVIEW</v>
      </c>
    </row>
    <row r="146" spans="1:10" ht="15.6" x14ac:dyDescent="0.3">
      <c r="A146" s="18" t="s">
        <v>250</v>
      </c>
      <c r="B146" s="12" t="s">
        <v>249</v>
      </c>
      <c r="C146" s="12" t="s">
        <v>1427</v>
      </c>
      <c r="D146" s="10" t="s">
        <v>8</v>
      </c>
      <c r="E146" s="10" t="s">
        <v>8</v>
      </c>
      <c r="F146" s="12" t="s">
        <v>8</v>
      </c>
      <c r="G146" s="46">
        <v>11.69</v>
      </c>
      <c r="H146" s="47" cm="1">
        <f t="array" ref="H146">ROUND(G146*IF(OR(MID(A146,5,3)={"BFF","PRK","FPL","LMB","FFI","MET","RIC","FLR","SUG","OIL","DRK","JCE","FEG"}),1.21,IF(OR(MID(A146,5,3)={"FVG","FFR"}),1.33,IF(OR(MID(A146,5,3)={"FBT","FCH","FMK","FYG","MLK","ICE","FRV","FPO","FRF","FCC","BRD"}),1.28,IF(OR(MID(A146,5,3)={"BIS","CRP","HRB","TUR","IND","HYG"}),1.38,1.31)))),2)</f>
        <v>15.31</v>
      </c>
      <c r="I146" s="29">
        <f>(Table1[[#This Row],[SALE PRICE]]-Table1[[#This Row],[COST PRICE]])/Table1[[#This Row],[SALE PRICE]]</f>
        <v>0.23644676681907256</v>
      </c>
      <c r="J146" s="26" t="str">
        <f>IF(Table1[[#This Row],[MARGIN]]&lt;25%, "REVIEW", "OK")</f>
        <v>REVIEW</v>
      </c>
    </row>
    <row r="147" spans="1:10" ht="15.6" x14ac:dyDescent="0.3">
      <c r="A147" s="18" t="s">
        <v>252</v>
      </c>
      <c r="B147" s="13" t="s">
        <v>251</v>
      </c>
      <c r="C147" s="13" t="s">
        <v>1431</v>
      </c>
      <c r="D147" s="11" t="s">
        <v>8</v>
      </c>
      <c r="E147" s="11" t="s">
        <v>8</v>
      </c>
      <c r="F147" s="13" t="s">
        <v>8</v>
      </c>
      <c r="G147" s="47">
        <v>10.09</v>
      </c>
      <c r="H147" s="46" cm="1">
        <f t="array" ref="H147">ROUND(G147*IF(OR(MID(A147,5,3)={"BFF","PRK","FPL","LMB","FFI","MET","RIC","FLR","SUG","OIL","DRK","JCE","FEG"}),1.21,IF(OR(MID(A147,5,3)={"FVG","FFR"}),1.33,IF(OR(MID(A147,5,3)={"FBT","FCH","FMK","FYG","MLK","ICE","FRV","FPO","FRF","FCC","BRD"}),1.28,IF(OR(MID(A147,5,3)={"BIS","CRP","HRB","TUR","IND","HYG"}),1.38,1.31)))),2)</f>
        <v>13.22</v>
      </c>
      <c r="I147" s="27">
        <f>(Table1[[#This Row],[SALE PRICE]]-Table1[[#This Row],[COST PRICE]])/Table1[[#This Row],[SALE PRICE]]</f>
        <v>0.23676248108925874</v>
      </c>
      <c r="J147" s="27" t="str">
        <f>IF(Table1[[#This Row],[MARGIN]]&lt;25%, "REVIEW", "OK")</f>
        <v>REVIEW</v>
      </c>
    </row>
    <row r="148" spans="1:10" ht="15.6" x14ac:dyDescent="0.3">
      <c r="A148" s="18" t="s">
        <v>254</v>
      </c>
      <c r="B148" s="12" t="s">
        <v>253</v>
      </c>
      <c r="C148" s="12" t="s">
        <v>1432</v>
      </c>
      <c r="D148" s="10" t="s">
        <v>8</v>
      </c>
      <c r="E148" s="10" t="s">
        <v>8</v>
      </c>
      <c r="F148" s="12" t="s">
        <v>8</v>
      </c>
      <c r="G148" s="46">
        <v>11.49</v>
      </c>
      <c r="H148" s="47" cm="1">
        <f t="array" ref="H148">ROUND(G148*IF(OR(MID(A148,5,3)={"BFF","PRK","FPL","LMB","FFI","MET","RIC","FLR","SUG","OIL","DRK","JCE","FEG"}),1.21,IF(OR(MID(A148,5,3)={"FVG","FFR"}),1.33,IF(OR(MID(A148,5,3)={"FBT","FCH","FMK","FYG","MLK","ICE","FRV","FPO","FRF","FCC","BRD"}),1.28,IF(OR(MID(A148,5,3)={"BIS","CRP","HRB","TUR","IND","HYG"}),1.38,1.31)))),2)</f>
        <v>15.05</v>
      </c>
      <c r="I148" s="29">
        <f>(Table1[[#This Row],[SALE PRICE]]-Table1[[#This Row],[COST PRICE]])/Table1[[#This Row],[SALE PRICE]]</f>
        <v>0.2365448504983389</v>
      </c>
      <c r="J148" s="26" t="str">
        <f>IF(Table1[[#This Row],[MARGIN]]&lt;25%, "REVIEW", "OK")</f>
        <v>REVIEW</v>
      </c>
    </row>
    <row r="149" spans="1:10" ht="15.6" x14ac:dyDescent="0.3">
      <c r="A149" s="18" t="s">
        <v>256</v>
      </c>
      <c r="B149" s="13" t="s">
        <v>255</v>
      </c>
      <c r="C149" s="13" t="s">
        <v>1432</v>
      </c>
      <c r="D149" s="11" t="s">
        <v>8</v>
      </c>
      <c r="E149" s="11" t="s">
        <v>8</v>
      </c>
      <c r="F149" s="13" t="s">
        <v>8</v>
      </c>
      <c r="G149" s="47">
        <v>17.79</v>
      </c>
      <c r="H149" s="46" cm="1">
        <f t="array" ref="H149">ROUND(G149*IF(OR(MID(A149,5,3)={"BFF","PRK","FPL","LMB","FFI","MET","RIC","FLR","SUG","OIL","DRK","JCE","FEG"}),1.21,IF(OR(MID(A149,5,3)={"FVG","FFR"}),1.33,IF(OR(MID(A149,5,3)={"FBT","FCH","FMK","FYG","MLK","ICE","FRV","FPO","FRF","FCC","BRD"}),1.28,IF(OR(MID(A149,5,3)={"BIS","CRP","HRB","TUR","IND","HYG"}),1.38,1.31)))),2)</f>
        <v>23.3</v>
      </c>
      <c r="I149" s="27">
        <f>(Table1[[#This Row],[SALE PRICE]]-Table1[[#This Row],[COST PRICE]])/Table1[[#This Row],[SALE PRICE]]</f>
        <v>0.23648068669527902</v>
      </c>
      <c r="J149" s="27" t="str">
        <f>IF(Table1[[#This Row],[MARGIN]]&lt;25%, "REVIEW", "OK")</f>
        <v>REVIEW</v>
      </c>
    </row>
    <row r="150" spans="1:10" ht="15.6" x14ac:dyDescent="0.3">
      <c r="A150" s="18" t="s">
        <v>258</v>
      </c>
      <c r="B150" s="12" t="s">
        <v>257</v>
      </c>
      <c r="C150" s="12" t="s">
        <v>1431</v>
      </c>
      <c r="D150" s="10" t="s">
        <v>8</v>
      </c>
      <c r="E150" s="10" t="s">
        <v>8</v>
      </c>
      <c r="F150" s="12" t="s">
        <v>8</v>
      </c>
      <c r="G150" s="46">
        <v>3.09</v>
      </c>
      <c r="H150" s="47" cm="1">
        <f t="array" ref="H150">ROUND(G150*IF(OR(MID(A150,5,3)={"BFF","PRK","FPL","LMB","FFI","MET","RIC","FLR","SUG","OIL","DRK","JCE","FEG"}),1.21,IF(OR(MID(A150,5,3)={"FVG","FFR"}),1.33,IF(OR(MID(A150,5,3)={"FBT","FCH","FMK","FYG","MLK","ICE","FRV","FPO","FRF","FCC","BRD"}),1.28,IF(OR(MID(A150,5,3)={"BIS","CRP","HRB","TUR","IND","HYG"}),1.38,1.31)))),2)</f>
        <v>4.05</v>
      </c>
      <c r="I150" s="29">
        <f>(Table1[[#This Row],[SALE PRICE]]-Table1[[#This Row],[COST PRICE]])/Table1[[#This Row],[SALE PRICE]]</f>
        <v>0.23703703703703705</v>
      </c>
      <c r="J150" s="26" t="str">
        <f>IF(Table1[[#This Row],[MARGIN]]&lt;25%, "REVIEW", "OK")</f>
        <v>REVIEW</v>
      </c>
    </row>
    <row r="151" spans="1:10" ht="15.6" x14ac:dyDescent="0.3">
      <c r="A151" s="18" t="s">
        <v>260</v>
      </c>
      <c r="B151" s="13" t="s">
        <v>259</v>
      </c>
      <c r="C151" s="13" t="s">
        <v>1431</v>
      </c>
      <c r="D151" s="11" t="s">
        <v>8</v>
      </c>
      <c r="E151" s="11" t="s">
        <v>8</v>
      </c>
      <c r="F151" s="13" t="s">
        <v>8</v>
      </c>
      <c r="G151" s="47">
        <v>3.99</v>
      </c>
      <c r="H151" s="46" cm="1">
        <f t="array" ref="H151">ROUND(G151*IF(OR(MID(A151,5,3)={"BFF","PRK","FPL","LMB","FFI","MET","RIC","FLR","SUG","OIL","DRK","JCE","FEG"}),1.21,IF(OR(MID(A151,5,3)={"FVG","FFR"}),1.33,IF(OR(MID(A151,5,3)={"FBT","FCH","FMK","FYG","MLK","ICE","FRV","FPO","FRF","FCC","BRD"}),1.28,IF(OR(MID(A151,5,3)={"BIS","CRP","HRB","TUR","IND","HYG"}),1.38,1.31)))),2)</f>
        <v>5.23</v>
      </c>
      <c r="I151" s="27">
        <f>(Table1[[#This Row],[SALE PRICE]]-Table1[[#This Row],[COST PRICE]])/Table1[[#This Row],[SALE PRICE]]</f>
        <v>0.237093690248566</v>
      </c>
      <c r="J151" s="27" t="str">
        <f>IF(Table1[[#This Row],[MARGIN]]&lt;25%, "REVIEW", "OK")</f>
        <v>REVIEW</v>
      </c>
    </row>
    <row r="152" spans="1:10" ht="15.6" x14ac:dyDescent="0.3">
      <c r="A152" s="18" t="s">
        <v>262</v>
      </c>
      <c r="B152" s="12" t="s">
        <v>261</v>
      </c>
      <c r="C152" s="12" t="s">
        <v>1431</v>
      </c>
      <c r="D152" s="10" t="s">
        <v>8</v>
      </c>
      <c r="E152" s="10" t="s">
        <v>8</v>
      </c>
      <c r="F152" s="12" t="s">
        <v>8</v>
      </c>
      <c r="G152" s="46">
        <v>9.7899999999999991</v>
      </c>
      <c r="H152" s="47" cm="1">
        <f t="array" ref="H152">ROUND(G152*IF(OR(MID(A152,5,3)={"BFF","PRK","FPL","LMB","FFI","MET","RIC","FLR","SUG","OIL","DRK","JCE","FEG"}),1.21,IF(OR(MID(A152,5,3)={"FVG","FFR"}),1.33,IF(OR(MID(A152,5,3)={"FBT","FCH","FMK","FYG","MLK","ICE","FRV","FPO","FRF","FCC","BRD"}),1.28,IF(OR(MID(A152,5,3)={"BIS","CRP","HRB","TUR","IND","HYG"}),1.38,1.31)))),2)</f>
        <v>12.82</v>
      </c>
      <c r="I152" s="29">
        <f>(Table1[[#This Row],[SALE PRICE]]-Table1[[#This Row],[COST PRICE]])/Table1[[#This Row],[SALE PRICE]]</f>
        <v>0.23634945397815921</v>
      </c>
      <c r="J152" s="26" t="str">
        <f>IF(Table1[[#This Row],[MARGIN]]&lt;25%, "REVIEW", "OK")</f>
        <v>REVIEW</v>
      </c>
    </row>
    <row r="153" spans="1:10" ht="15.6" x14ac:dyDescent="0.3">
      <c r="A153" s="18" t="s">
        <v>264</v>
      </c>
      <c r="B153" s="13" t="s">
        <v>263</v>
      </c>
      <c r="C153" s="13" t="s">
        <v>1431</v>
      </c>
      <c r="D153" s="11" t="s">
        <v>8</v>
      </c>
      <c r="E153" s="11" t="s">
        <v>8</v>
      </c>
      <c r="F153" s="13" t="s">
        <v>8</v>
      </c>
      <c r="G153" s="47">
        <v>4.49</v>
      </c>
      <c r="H153" s="46" cm="1">
        <f t="array" ref="H153">ROUND(G153*IF(OR(MID(A153,5,3)={"BFF","PRK","FPL","LMB","FFI","MET","RIC","FLR","SUG","OIL","DRK","JCE","FEG"}),1.21,IF(OR(MID(A153,5,3)={"FVG","FFR"}),1.33,IF(OR(MID(A153,5,3)={"FBT","FCH","FMK","FYG","MLK","ICE","FRV","FPO","FRF","FCC","BRD"}),1.28,IF(OR(MID(A153,5,3)={"BIS","CRP","HRB","TUR","IND","HYG"}),1.38,1.31)))),2)</f>
        <v>5.88</v>
      </c>
      <c r="I153" s="27">
        <f>(Table1[[#This Row],[SALE PRICE]]-Table1[[#This Row],[COST PRICE]])/Table1[[#This Row],[SALE PRICE]]</f>
        <v>0.23639455782312921</v>
      </c>
      <c r="J153" s="27" t="str">
        <f>IF(Table1[[#This Row],[MARGIN]]&lt;25%, "REVIEW", "OK")</f>
        <v>REVIEW</v>
      </c>
    </row>
    <row r="154" spans="1:10" ht="15.6" x14ac:dyDescent="0.3">
      <c r="A154" s="18" t="s">
        <v>266</v>
      </c>
      <c r="B154" s="12" t="s">
        <v>265</v>
      </c>
      <c r="C154" s="12" t="s">
        <v>1427</v>
      </c>
      <c r="D154" s="10" t="s">
        <v>8</v>
      </c>
      <c r="E154" s="10" t="s">
        <v>8</v>
      </c>
      <c r="F154" s="12" t="s">
        <v>8</v>
      </c>
      <c r="G154" s="46">
        <v>10.89</v>
      </c>
      <c r="H154" s="47" cm="1">
        <f t="array" ref="H154">ROUND(G154*IF(OR(MID(A154,5,3)={"BFF","PRK","FPL","LMB","FFI","MET","RIC","FLR","SUG","OIL","DRK","JCE","FEG"}),1.21,IF(OR(MID(A154,5,3)={"FVG","FFR"}),1.33,IF(OR(MID(A154,5,3)={"FBT","FCH","FMK","FYG","MLK","ICE","FRV","FPO","FRF","FCC","BRD"}),1.28,IF(OR(MID(A154,5,3)={"BIS","CRP","HRB","TUR","IND","HYG"}),1.38,1.31)))),2)</f>
        <v>14.27</v>
      </c>
      <c r="I154" s="29">
        <f>(Table1[[#This Row],[SALE PRICE]]-Table1[[#This Row],[COST PRICE]])/Table1[[#This Row],[SALE PRICE]]</f>
        <v>0.23686054660126132</v>
      </c>
      <c r="J154" s="26" t="str">
        <f>IF(Table1[[#This Row],[MARGIN]]&lt;25%, "REVIEW", "OK")</f>
        <v>REVIEW</v>
      </c>
    </row>
    <row r="155" spans="1:10" ht="15.6" x14ac:dyDescent="0.3">
      <c r="A155" s="18" t="s">
        <v>268</v>
      </c>
      <c r="B155" s="13" t="s">
        <v>267</v>
      </c>
      <c r="C155" s="13" t="s">
        <v>1427</v>
      </c>
      <c r="D155" s="11" t="s">
        <v>8</v>
      </c>
      <c r="E155" s="11" t="s">
        <v>8</v>
      </c>
      <c r="F155" s="13" t="s">
        <v>8</v>
      </c>
      <c r="G155" s="47">
        <v>23.79</v>
      </c>
      <c r="H155" s="46" cm="1">
        <f t="array" ref="H155">ROUND(G155*IF(OR(MID(A155,5,3)={"BFF","PRK","FPL","LMB","FFI","MET","RIC","FLR","SUG","OIL","DRK","JCE","FEG"}),1.21,IF(OR(MID(A155,5,3)={"FVG","FFR"}),1.33,IF(OR(MID(A155,5,3)={"FBT","FCH","FMK","FYG","MLK","ICE","FRV","FPO","FRF","FCC","BRD"}),1.28,IF(OR(MID(A155,5,3)={"BIS","CRP","HRB","TUR","IND","HYG"}),1.38,1.31)))),2)</f>
        <v>31.16</v>
      </c>
      <c r="I155" s="27">
        <f>(Table1[[#This Row],[SALE PRICE]]-Table1[[#This Row],[COST PRICE]])/Table1[[#This Row],[SALE PRICE]]</f>
        <v>0.23652118100128372</v>
      </c>
      <c r="J155" s="27" t="str">
        <f>IF(Table1[[#This Row],[MARGIN]]&lt;25%, "REVIEW", "OK")</f>
        <v>REVIEW</v>
      </c>
    </row>
    <row r="156" spans="1:10" ht="15.6" x14ac:dyDescent="0.3">
      <c r="A156" s="18" t="s">
        <v>270</v>
      </c>
      <c r="B156" s="12" t="s">
        <v>269</v>
      </c>
      <c r="C156" s="12" t="s">
        <v>1427</v>
      </c>
      <c r="D156" s="10" t="s">
        <v>8</v>
      </c>
      <c r="E156" s="10" t="s">
        <v>8</v>
      </c>
      <c r="F156" s="12" t="s">
        <v>8</v>
      </c>
      <c r="G156" s="46">
        <v>37.99</v>
      </c>
      <c r="H156" s="47" cm="1">
        <f t="array" ref="H156">ROUND(G156*IF(OR(MID(A156,5,3)={"BFF","PRK","FPL","LMB","FFI","MET","RIC","FLR","SUG","OIL","DRK","JCE","FEG"}),1.21,IF(OR(MID(A156,5,3)={"FVG","FFR"}),1.33,IF(OR(MID(A156,5,3)={"FBT","FCH","FMK","FYG","MLK","ICE","FRV","FPO","FRF","FCC","BRD"}),1.28,IF(OR(MID(A156,5,3)={"BIS","CRP","HRB","TUR","IND","HYG"}),1.38,1.31)))),2)</f>
        <v>49.77</v>
      </c>
      <c r="I156" s="29">
        <f>(Table1[[#This Row],[SALE PRICE]]-Table1[[#This Row],[COST PRICE]])/Table1[[#This Row],[SALE PRICE]]</f>
        <v>0.23668876833433797</v>
      </c>
      <c r="J156" s="26" t="str">
        <f>IF(Table1[[#This Row],[MARGIN]]&lt;25%, "REVIEW", "OK")</f>
        <v>REVIEW</v>
      </c>
    </row>
    <row r="157" spans="1:10" ht="15.6" x14ac:dyDescent="0.3">
      <c r="A157" s="18" t="s">
        <v>272</v>
      </c>
      <c r="B157" s="13" t="s">
        <v>271</v>
      </c>
      <c r="C157" s="13" t="s">
        <v>1427</v>
      </c>
      <c r="D157" s="11" t="s">
        <v>8</v>
      </c>
      <c r="E157" s="11" t="s">
        <v>8</v>
      </c>
      <c r="F157" s="13" t="s">
        <v>8</v>
      </c>
      <c r="G157" s="47">
        <v>15.99</v>
      </c>
      <c r="H157" s="46" cm="1">
        <f t="array" ref="H157">ROUND(G157*IF(OR(MID(A157,5,3)={"BFF","PRK","FPL","LMB","FFI","MET","RIC","FLR","SUG","OIL","DRK","JCE","FEG"}),1.21,IF(OR(MID(A157,5,3)={"FVG","FFR"}),1.33,IF(OR(MID(A157,5,3)={"FBT","FCH","FMK","FYG","MLK","ICE","FRV","FPO","FRF","FCC","BRD"}),1.28,IF(OR(MID(A157,5,3)={"BIS","CRP","HRB","TUR","IND","HYG"}),1.38,1.31)))),2)</f>
        <v>20.95</v>
      </c>
      <c r="I157" s="27">
        <f>(Table1[[#This Row],[SALE PRICE]]-Table1[[#This Row],[COST PRICE]])/Table1[[#This Row],[SALE PRICE]]</f>
        <v>0.23675417661097847</v>
      </c>
      <c r="J157" s="27" t="str">
        <f>IF(Table1[[#This Row],[MARGIN]]&lt;25%, "REVIEW", "OK")</f>
        <v>REVIEW</v>
      </c>
    </row>
    <row r="158" spans="1:10" ht="15.6" x14ac:dyDescent="0.3">
      <c r="A158" s="18" t="s">
        <v>274</v>
      </c>
      <c r="B158" s="12" t="s">
        <v>273</v>
      </c>
      <c r="C158" s="12" t="s">
        <v>1427</v>
      </c>
      <c r="D158" s="10" t="s">
        <v>8</v>
      </c>
      <c r="E158" s="10" t="s">
        <v>8</v>
      </c>
      <c r="F158" s="12" t="s">
        <v>8</v>
      </c>
      <c r="G158" s="46">
        <v>7.75</v>
      </c>
      <c r="H158" s="47" cm="1">
        <f t="array" ref="H158">ROUND(G158*IF(OR(MID(A158,5,3)={"BFF","PRK","FPL","LMB","FFI","MET","RIC","FLR","SUG","OIL","DRK","JCE","FEG"}),1.21,IF(OR(MID(A158,5,3)={"FVG","FFR"}),1.33,IF(OR(MID(A158,5,3)={"FBT","FCH","FMK","FYG","MLK","ICE","FRV","FPO","FRF","FCC","BRD"}),1.28,IF(OR(MID(A158,5,3)={"BIS","CRP","HRB","TUR","IND","HYG"}),1.38,1.31)))),2)</f>
        <v>10.15</v>
      </c>
      <c r="I158" s="29">
        <f>(Table1[[#This Row],[SALE PRICE]]-Table1[[#This Row],[COST PRICE]])/Table1[[#This Row],[SALE PRICE]]</f>
        <v>0.23645320197044337</v>
      </c>
      <c r="J158" s="26" t="str">
        <f>IF(Table1[[#This Row],[MARGIN]]&lt;25%, "REVIEW", "OK")</f>
        <v>REVIEW</v>
      </c>
    </row>
    <row r="159" spans="1:10" ht="15.6" x14ac:dyDescent="0.3">
      <c r="A159" s="18" t="s">
        <v>276</v>
      </c>
      <c r="B159" s="13" t="s">
        <v>275</v>
      </c>
      <c r="C159" s="13" t="s">
        <v>1434</v>
      </c>
      <c r="D159" s="11" t="s">
        <v>8</v>
      </c>
      <c r="E159" s="11" t="s">
        <v>8</v>
      </c>
      <c r="F159" s="13" t="s">
        <v>8</v>
      </c>
      <c r="G159" s="47">
        <v>8.49</v>
      </c>
      <c r="H159" s="46" cm="1">
        <f t="array" ref="H159">ROUND(G159*IF(OR(MID(A159,5,3)={"BFF","PRK","FPL","LMB","FFI","MET","RIC","FLR","SUG","OIL","DRK","JCE","FEG"}),1.21,IF(OR(MID(A159,5,3)={"FVG","FFR"}),1.33,IF(OR(MID(A159,5,3)={"FBT","FCH","FMK","FYG","MLK","ICE","FRV","FPO","FRF","FCC","BRD"}),1.28,IF(OR(MID(A159,5,3)={"BIS","CRP","HRB","TUR","IND","HYG"}),1.38,1.31)))),2)</f>
        <v>11.12</v>
      </c>
      <c r="I159" s="27">
        <f>(Table1[[#This Row],[SALE PRICE]]-Table1[[#This Row],[COST PRICE]])/Table1[[#This Row],[SALE PRICE]]</f>
        <v>0.23651079136690639</v>
      </c>
      <c r="J159" s="27" t="str">
        <f>IF(Table1[[#This Row],[MARGIN]]&lt;25%, "REVIEW", "OK")</f>
        <v>REVIEW</v>
      </c>
    </row>
    <row r="160" spans="1:10" ht="15.6" x14ac:dyDescent="0.3">
      <c r="A160" s="18" t="s">
        <v>278</v>
      </c>
      <c r="B160" s="12" t="s">
        <v>277</v>
      </c>
      <c r="C160" s="12" t="s">
        <v>1427</v>
      </c>
      <c r="D160" s="10" t="s">
        <v>8</v>
      </c>
      <c r="E160" s="10" t="s">
        <v>8</v>
      </c>
      <c r="F160" s="12" t="s">
        <v>8</v>
      </c>
      <c r="G160" s="46">
        <v>8.99</v>
      </c>
      <c r="H160" s="47" cm="1">
        <f t="array" ref="H160">ROUND(G160*IF(OR(MID(A160,5,3)={"BFF","PRK","FPL","LMB","FFI","MET","RIC","FLR","SUG","OIL","DRK","JCE","FEG"}),1.21,IF(OR(MID(A160,5,3)={"FVG","FFR"}),1.33,IF(OR(MID(A160,5,3)={"FBT","FCH","FMK","FYG","MLK","ICE","FRV","FPO","FRF","FCC","BRD"}),1.28,IF(OR(MID(A160,5,3)={"BIS","CRP","HRB","TUR","IND","HYG"}),1.38,1.31)))),2)</f>
        <v>11.78</v>
      </c>
      <c r="I160" s="29">
        <f>(Table1[[#This Row],[SALE PRICE]]-Table1[[#This Row],[COST PRICE]])/Table1[[#This Row],[SALE PRICE]]</f>
        <v>0.23684210526315783</v>
      </c>
      <c r="J160" s="26" t="str">
        <f>IF(Table1[[#This Row],[MARGIN]]&lt;25%, "REVIEW", "OK")</f>
        <v>REVIEW</v>
      </c>
    </row>
    <row r="161" spans="1:10" ht="15.6" x14ac:dyDescent="0.3">
      <c r="A161" s="18" t="s">
        <v>280</v>
      </c>
      <c r="B161" s="13" t="s">
        <v>279</v>
      </c>
      <c r="C161" s="13" t="s">
        <v>1427</v>
      </c>
      <c r="D161" s="11" t="s">
        <v>8</v>
      </c>
      <c r="E161" s="11" t="s">
        <v>8</v>
      </c>
      <c r="F161" s="13" t="s">
        <v>8</v>
      </c>
      <c r="G161" s="47">
        <v>24.69</v>
      </c>
      <c r="H161" s="46" cm="1">
        <f t="array" ref="H161">ROUND(G161*IF(OR(MID(A161,5,3)={"BFF","PRK","FPL","LMB","FFI","MET","RIC","FLR","SUG","OIL","DRK","JCE","FEG"}),1.21,IF(OR(MID(A161,5,3)={"FVG","FFR"}),1.33,IF(OR(MID(A161,5,3)={"FBT","FCH","FMK","FYG","MLK","ICE","FRV","FPO","FRF","FCC","BRD"}),1.28,IF(OR(MID(A161,5,3)={"BIS","CRP","HRB","TUR","IND","HYG"}),1.38,1.31)))),2)</f>
        <v>32.340000000000003</v>
      </c>
      <c r="I161" s="27">
        <f>(Table1[[#This Row],[SALE PRICE]]-Table1[[#This Row],[COST PRICE]])/Table1[[#This Row],[SALE PRICE]]</f>
        <v>0.23654916512059374</v>
      </c>
      <c r="J161" s="27" t="str">
        <f>IF(Table1[[#This Row],[MARGIN]]&lt;25%, "REVIEW", "OK")</f>
        <v>REVIEW</v>
      </c>
    </row>
    <row r="162" spans="1:10" ht="15.6" x14ac:dyDescent="0.3">
      <c r="A162" s="18" t="s">
        <v>282</v>
      </c>
      <c r="B162" s="12" t="s">
        <v>281</v>
      </c>
      <c r="C162" s="12" t="s">
        <v>1434</v>
      </c>
      <c r="D162" s="10" t="s">
        <v>8</v>
      </c>
      <c r="E162" s="10" t="s">
        <v>8</v>
      </c>
      <c r="F162" s="12" t="s">
        <v>8</v>
      </c>
      <c r="G162" s="46">
        <v>6.69</v>
      </c>
      <c r="H162" s="47" cm="1">
        <f t="array" ref="H162">ROUND(G162*IF(OR(MID(A162,5,3)={"BFF","PRK","FPL","LMB","FFI","MET","RIC","FLR","SUG","OIL","DRK","JCE","FEG"}),1.21,IF(OR(MID(A162,5,3)={"FVG","FFR"}),1.33,IF(OR(MID(A162,5,3)={"FBT","FCH","FMK","FYG","MLK","ICE","FRV","FPO","FRF","FCC","BRD"}),1.28,IF(OR(MID(A162,5,3)={"BIS","CRP","HRB","TUR","IND","HYG"}),1.38,1.31)))),2)</f>
        <v>8.76</v>
      </c>
      <c r="I162" s="29">
        <f>(Table1[[#This Row],[SALE PRICE]]-Table1[[#This Row],[COST PRICE]])/Table1[[#This Row],[SALE PRICE]]</f>
        <v>0.23630136986301364</v>
      </c>
      <c r="J162" s="26" t="str">
        <f>IF(Table1[[#This Row],[MARGIN]]&lt;25%, "REVIEW", "OK")</f>
        <v>REVIEW</v>
      </c>
    </row>
    <row r="163" spans="1:10" ht="15.6" x14ac:dyDescent="0.3">
      <c r="A163" s="18" t="s">
        <v>284</v>
      </c>
      <c r="B163" s="13" t="s">
        <v>283</v>
      </c>
      <c r="C163" s="13" t="s">
        <v>1427</v>
      </c>
      <c r="D163" s="11" t="s">
        <v>8</v>
      </c>
      <c r="E163" s="11" t="s">
        <v>8</v>
      </c>
      <c r="F163" s="13" t="s">
        <v>8</v>
      </c>
      <c r="G163" s="47">
        <v>10.19</v>
      </c>
      <c r="H163" s="46" cm="1">
        <f t="array" ref="H163">ROUND(G163*IF(OR(MID(A163,5,3)={"BFF","PRK","FPL","LMB","FFI","MET","RIC","FLR","SUG","OIL","DRK","JCE","FEG"}),1.21,IF(OR(MID(A163,5,3)={"FVG","FFR"}),1.33,IF(OR(MID(A163,5,3)={"FBT","FCH","FMK","FYG","MLK","ICE","FRV","FPO","FRF","FCC","BRD"}),1.28,IF(OR(MID(A163,5,3)={"BIS","CRP","HRB","TUR","IND","HYG"}),1.38,1.31)))),2)</f>
        <v>13.35</v>
      </c>
      <c r="I163" s="27">
        <f>(Table1[[#This Row],[SALE PRICE]]-Table1[[#This Row],[COST PRICE]])/Table1[[#This Row],[SALE PRICE]]</f>
        <v>0.23670411985018727</v>
      </c>
      <c r="J163" s="27" t="str">
        <f>IF(Table1[[#This Row],[MARGIN]]&lt;25%, "REVIEW", "OK")</f>
        <v>REVIEW</v>
      </c>
    </row>
    <row r="164" spans="1:10" ht="15.6" x14ac:dyDescent="0.3">
      <c r="A164" s="18" t="s">
        <v>286</v>
      </c>
      <c r="B164" s="12" t="s">
        <v>285</v>
      </c>
      <c r="C164" s="12" t="s">
        <v>1427</v>
      </c>
      <c r="D164" s="10" t="s">
        <v>8</v>
      </c>
      <c r="E164" s="10" t="s">
        <v>8</v>
      </c>
      <c r="F164" s="12" t="s">
        <v>8</v>
      </c>
      <c r="G164" s="46">
        <v>25.65</v>
      </c>
      <c r="H164" s="47" cm="1">
        <f t="array" ref="H164">ROUND(G164*IF(OR(MID(A164,5,3)={"BFF","PRK","FPL","LMB","FFI","MET","RIC","FLR","SUG","OIL","DRK","JCE","FEG"}),1.21,IF(OR(MID(A164,5,3)={"FVG","FFR"}),1.33,IF(OR(MID(A164,5,3)={"FBT","FCH","FMK","FYG","MLK","ICE","FRV","FPO","FRF","FCC","BRD"}),1.28,IF(OR(MID(A164,5,3)={"BIS","CRP","HRB","TUR","IND","HYG"}),1.38,1.31)))),2)</f>
        <v>33.6</v>
      </c>
      <c r="I164" s="29">
        <f>(Table1[[#This Row],[SALE PRICE]]-Table1[[#This Row],[COST PRICE]])/Table1[[#This Row],[SALE PRICE]]</f>
        <v>0.23660714285714293</v>
      </c>
      <c r="J164" s="26" t="str">
        <f>IF(Table1[[#This Row],[MARGIN]]&lt;25%, "REVIEW", "OK")</f>
        <v>REVIEW</v>
      </c>
    </row>
    <row r="165" spans="1:10" ht="15.6" x14ac:dyDescent="0.3">
      <c r="A165" s="18" t="s">
        <v>288</v>
      </c>
      <c r="B165" s="13" t="s">
        <v>287</v>
      </c>
      <c r="C165" s="13" t="s">
        <v>1427</v>
      </c>
      <c r="D165" s="11" t="s">
        <v>8</v>
      </c>
      <c r="E165" s="11" t="s">
        <v>8</v>
      </c>
      <c r="F165" s="13" t="s">
        <v>8</v>
      </c>
      <c r="G165" s="47">
        <v>15.09</v>
      </c>
      <c r="H165" s="46" cm="1">
        <f t="array" ref="H165">ROUND(G165*IF(OR(MID(A165,5,3)={"BFF","PRK","FPL","LMB","FFI","MET","RIC","FLR","SUG","OIL","DRK","JCE","FEG"}),1.21,IF(OR(MID(A165,5,3)={"FVG","FFR"}),1.33,IF(OR(MID(A165,5,3)={"FBT","FCH","FMK","FYG","MLK","ICE","FRV","FPO","FRF","FCC","BRD"}),1.28,IF(OR(MID(A165,5,3)={"BIS","CRP","HRB","TUR","IND","HYG"}),1.38,1.31)))),2)</f>
        <v>19.77</v>
      </c>
      <c r="I165" s="27">
        <f>(Table1[[#This Row],[SALE PRICE]]-Table1[[#This Row],[COST PRICE]])/Table1[[#This Row],[SALE PRICE]]</f>
        <v>0.23672230652503792</v>
      </c>
      <c r="J165" s="27" t="str">
        <f>IF(Table1[[#This Row],[MARGIN]]&lt;25%, "REVIEW", "OK")</f>
        <v>REVIEW</v>
      </c>
    </row>
    <row r="166" spans="1:10" ht="15.6" x14ac:dyDescent="0.3">
      <c r="A166" s="18" t="s">
        <v>290</v>
      </c>
      <c r="B166" s="12" t="s">
        <v>289</v>
      </c>
      <c r="C166" s="12" t="s">
        <v>1427</v>
      </c>
      <c r="D166" s="10" t="s">
        <v>8</v>
      </c>
      <c r="E166" s="10" t="s">
        <v>8</v>
      </c>
      <c r="F166" s="12" t="s">
        <v>8</v>
      </c>
      <c r="G166" s="46">
        <v>8.25</v>
      </c>
      <c r="H166" s="47" cm="1">
        <f t="array" ref="H166">ROUND(G166*IF(OR(MID(A166,5,3)={"BFF","PRK","FPL","LMB","FFI","MET","RIC","FLR","SUG","OIL","DRK","JCE","FEG"}),1.21,IF(OR(MID(A166,5,3)={"FVG","FFR"}),1.33,IF(OR(MID(A166,5,3)={"FBT","FCH","FMK","FYG","MLK","ICE","FRV","FPO","FRF","FCC","BRD"}),1.28,IF(OR(MID(A166,5,3)={"BIS","CRP","HRB","TUR","IND","HYG"}),1.38,1.31)))),2)</f>
        <v>10.81</v>
      </c>
      <c r="I166" s="29">
        <f>(Table1[[#This Row],[SALE PRICE]]-Table1[[#This Row],[COST PRICE]])/Table1[[#This Row],[SALE PRICE]]</f>
        <v>0.23681776133209995</v>
      </c>
      <c r="J166" s="26" t="str">
        <f>IF(Table1[[#This Row],[MARGIN]]&lt;25%, "REVIEW", "OK")</f>
        <v>REVIEW</v>
      </c>
    </row>
    <row r="167" spans="1:10" ht="15.6" x14ac:dyDescent="0.3">
      <c r="A167" s="18" t="s">
        <v>292</v>
      </c>
      <c r="B167" s="13" t="s">
        <v>291</v>
      </c>
      <c r="C167" s="13" t="s">
        <v>1427</v>
      </c>
      <c r="D167" s="11" t="s">
        <v>8</v>
      </c>
      <c r="E167" s="11" t="s">
        <v>8</v>
      </c>
      <c r="F167" s="13" t="s">
        <v>8</v>
      </c>
      <c r="G167" s="47">
        <v>28.49</v>
      </c>
      <c r="H167" s="46" cm="1">
        <f t="array" ref="H167">ROUND(G167*IF(OR(MID(A167,5,3)={"BFF","PRK","FPL","LMB","FFI","MET","RIC","FLR","SUG","OIL","DRK","JCE","FEG"}),1.21,IF(OR(MID(A167,5,3)={"FVG","FFR"}),1.33,IF(OR(MID(A167,5,3)={"FBT","FCH","FMK","FYG","MLK","ICE","FRV","FPO","FRF","FCC","BRD"}),1.28,IF(OR(MID(A167,5,3)={"BIS","CRP","HRB","TUR","IND","HYG"}),1.38,1.31)))),2)</f>
        <v>37.32</v>
      </c>
      <c r="I167" s="27">
        <f>(Table1[[#This Row],[SALE PRICE]]-Table1[[#This Row],[COST PRICE]])/Table1[[#This Row],[SALE PRICE]]</f>
        <v>0.23660235798499468</v>
      </c>
      <c r="J167" s="27" t="str">
        <f>IF(Table1[[#This Row],[MARGIN]]&lt;25%, "REVIEW", "OK")</f>
        <v>REVIEW</v>
      </c>
    </row>
    <row r="168" spans="1:10" ht="15.6" x14ac:dyDescent="0.3">
      <c r="A168" s="18" t="s">
        <v>294</v>
      </c>
      <c r="B168" s="12" t="s">
        <v>293</v>
      </c>
      <c r="C168" s="12" t="s">
        <v>1427</v>
      </c>
      <c r="D168" s="10" t="s">
        <v>8</v>
      </c>
      <c r="E168" s="10" t="s">
        <v>8</v>
      </c>
      <c r="F168" s="12" t="s">
        <v>8</v>
      </c>
      <c r="G168" s="46">
        <v>14.99</v>
      </c>
      <c r="H168" s="47" cm="1">
        <f t="array" ref="H168">ROUND(G168*IF(OR(MID(A168,5,3)={"BFF","PRK","FPL","LMB","FFI","MET","RIC","FLR","SUG","OIL","DRK","JCE","FEG"}),1.21,IF(OR(MID(A168,5,3)={"FVG","FFR"}),1.33,IF(OR(MID(A168,5,3)={"FBT","FCH","FMK","FYG","MLK","ICE","FRV","FPO","FRF","FCC","BRD"}),1.28,IF(OR(MID(A168,5,3)={"BIS","CRP","HRB","TUR","IND","HYG"}),1.38,1.31)))),2)</f>
        <v>19.64</v>
      </c>
      <c r="I168" s="29">
        <f>(Table1[[#This Row],[SALE PRICE]]-Table1[[#This Row],[COST PRICE]])/Table1[[#This Row],[SALE PRICE]]</f>
        <v>0.23676171079429736</v>
      </c>
      <c r="J168" s="26" t="str">
        <f>IF(Table1[[#This Row],[MARGIN]]&lt;25%, "REVIEW", "OK")</f>
        <v>REVIEW</v>
      </c>
    </row>
    <row r="169" spans="1:10" ht="15.6" x14ac:dyDescent="0.3">
      <c r="A169" s="18" t="s">
        <v>296</v>
      </c>
      <c r="B169" s="13" t="s">
        <v>295</v>
      </c>
      <c r="C169" s="13" t="s">
        <v>1427</v>
      </c>
      <c r="D169" s="11" t="s">
        <v>8</v>
      </c>
      <c r="E169" s="11" t="s">
        <v>8</v>
      </c>
      <c r="F169" s="13" t="s">
        <v>8</v>
      </c>
      <c r="G169" s="47">
        <v>14.99</v>
      </c>
      <c r="H169" s="46" cm="1">
        <f t="array" ref="H169">ROUND(G169*IF(OR(MID(A169,5,3)={"BFF","PRK","FPL","LMB","FFI","MET","RIC","FLR","SUG","OIL","DRK","JCE","FEG"}),1.21,IF(OR(MID(A169,5,3)={"FVG","FFR"}),1.33,IF(OR(MID(A169,5,3)={"FBT","FCH","FMK","FYG","MLK","ICE","FRV","FPO","FRF","FCC","BRD"}),1.28,IF(OR(MID(A169,5,3)={"BIS","CRP","HRB","TUR","IND","HYG"}),1.38,1.31)))),2)</f>
        <v>19.64</v>
      </c>
      <c r="I169" s="27">
        <f>(Table1[[#This Row],[SALE PRICE]]-Table1[[#This Row],[COST PRICE]])/Table1[[#This Row],[SALE PRICE]]</f>
        <v>0.23676171079429736</v>
      </c>
      <c r="J169" s="27" t="str">
        <f>IF(Table1[[#This Row],[MARGIN]]&lt;25%, "REVIEW", "OK")</f>
        <v>REVIEW</v>
      </c>
    </row>
    <row r="170" spans="1:10" ht="15.6" x14ac:dyDescent="0.3">
      <c r="A170" s="18" t="s">
        <v>298</v>
      </c>
      <c r="B170" s="12" t="s">
        <v>297</v>
      </c>
      <c r="C170" s="12" t="s">
        <v>1434</v>
      </c>
      <c r="D170" s="10" t="s">
        <v>8</v>
      </c>
      <c r="E170" s="10" t="s">
        <v>8</v>
      </c>
      <c r="F170" s="12" t="s">
        <v>8</v>
      </c>
      <c r="G170" s="46">
        <v>7.99</v>
      </c>
      <c r="H170" s="47" cm="1">
        <f t="array" ref="H170">ROUND(G170*IF(OR(MID(A170,5,3)={"BFF","PRK","FPL","LMB","FFI","MET","RIC","FLR","SUG","OIL","DRK","JCE","FEG"}),1.21,IF(OR(MID(A170,5,3)={"FVG","FFR"}),1.33,IF(OR(MID(A170,5,3)={"FBT","FCH","FMK","FYG","MLK","ICE","FRV","FPO","FRF","FCC","BRD"}),1.28,IF(OR(MID(A170,5,3)={"BIS","CRP","HRB","TUR","IND","HYG"}),1.38,1.31)))),2)</f>
        <v>10.47</v>
      </c>
      <c r="I170" s="29">
        <f>(Table1[[#This Row],[SALE PRICE]]-Table1[[#This Row],[COST PRICE]])/Table1[[#This Row],[SALE PRICE]]</f>
        <v>0.23686723973256926</v>
      </c>
      <c r="J170" s="26" t="str">
        <f>IF(Table1[[#This Row],[MARGIN]]&lt;25%, "REVIEW", "OK")</f>
        <v>REVIEW</v>
      </c>
    </row>
    <row r="171" spans="1:10" ht="15.6" x14ac:dyDescent="0.3">
      <c r="A171" s="18" t="s">
        <v>300</v>
      </c>
      <c r="B171" s="13" t="s">
        <v>299</v>
      </c>
      <c r="C171" s="13" t="s">
        <v>1432</v>
      </c>
      <c r="D171" s="11" t="s">
        <v>8</v>
      </c>
      <c r="E171" s="11" t="s">
        <v>8</v>
      </c>
      <c r="F171" s="13" t="s">
        <v>8</v>
      </c>
      <c r="G171" s="47">
        <v>6.49</v>
      </c>
      <c r="H171" s="46" cm="1">
        <f t="array" ref="H171">ROUND(G171*IF(OR(MID(A171,5,3)={"BFF","PRK","FPL","LMB","FFI","MET","RIC","FLR","SUG","OIL","DRK","JCE","FEG"}),1.21,IF(OR(MID(A171,5,3)={"FVG","FFR"}),1.33,IF(OR(MID(A171,5,3)={"FBT","FCH","FMK","FYG","MLK","ICE","FRV","FPO","FRF","FCC","BRD"}),1.28,IF(OR(MID(A171,5,3)={"BIS","CRP","HRB","TUR","IND","HYG"}),1.38,1.31)))),2)</f>
        <v>8.5</v>
      </c>
      <c r="I171" s="27">
        <f>(Table1[[#This Row],[SALE PRICE]]-Table1[[#This Row],[COST PRICE]])/Table1[[#This Row],[SALE PRICE]]</f>
        <v>0.2364705882352941</v>
      </c>
      <c r="J171" s="27" t="str">
        <f>IF(Table1[[#This Row],[MARGIN]]&lt;25%, "REVIEW", "OK")</f>
        <v>REVIEW</v>
      </c>
    </row>
    <row r="172" spans="1:10" ht="15.6" x14ac:dyDescent="0.3">
      <c r="A172" s="18" t="s">
        <v>302</v>
      </c>
      <c r="B172" s="12" t="s">
        <v>301</v>
      </c>
      <c r="C172" s="12" t="s">
        <v>1434</v>
      </c>
      <c r="D172" s="10" t="s">
        <v>8</v>
      </c>
      <c r="E172" s="10" t="s">
        <v>8</v>
      </c>
      <c r="F172" s="12" t="s">
        <v>8</v>
      </c>
      <c r="G172" s="46">
        <v>3.99</v>
      </c>
      <c r="H172" s="47" cm="1">
        <f t="array" ref="H172">ROUND(G172*IF(OR(MID(A172,5,3)={"BFF","PRK","FPL","LMB","FFI","MET","RIC","FLR","SUG","OIL","DRK","JCE","FEG"}),1.21,IF(OR(MID(A172,5,3)={"FVG","FFR"}),1.33,IF(OR(MID(A172,5,3)={"FBT","FCH","FMK","FYG","MLK","ICE","FRV","FPO","FRF","FCC","BRD"}),1.28,IF(OR(MID(A172,5,3)={"BIS","CRP","HRB","TUR","IND","HYG"}),1.38,1.31)))),2)</f>
        <v>5.23</v>
      </c>
      <c r="I172" s="29">
        <f>(Table1[[#This Row],[SALE PRICE]]-Table1[[#This Row],[COST PRICE]])/Table1[[#This Row],[SALE PRICE]]</f>
        <v>0.237093690248566</v>
      </c>
      <c r="J172" s="26" t="str">
        <f>IF(Table1[[#This Row],[MARGIN]]&lt;25%, "REVIEW", "OK")</f>
        <v>REVIEW</v>
      </c>
    </row>
    <row r="173" spans="1:10" ht="15.6" x14ac:dyDescent="0.3">
      <c r="A173" s="18" t="s">
        <v>304</v>
      </c>
      <c r="B173" s="13" t="s">
        <v>303</v>
      </c>
      <c r="C173" s="13" t="s">
        <v>1427</v>
      </c>
      <c r="D173" s="11" t="s">
        <v>8</v>
      </c>
      <c r="E173" s="11" t="s">
        <v>8</v>
      </c>
      <c r="F173" s="13" t="s">
        <v>8</v>
      </c>
      <c r="G173" s="47">
        <v>7.99</v>
      </c>
      <c r="H173" s="46" cm="1">
        <f t="array" ref="H173">ROUND(G173*IF(OR(MID(A173,5,3)={"BFF","PRK","FPL","LMB","FFI","MET","RIC","FLR","SUG","OIL","DRK","JCE","FEG"}),1.21,IF(OR(MID(A173,5,3)={"FVG","FFR"}),1.33,IF(OR(MID(A173,5,3)={"FBT","FCH","FMK","FYG","MLK","ICE","FRV","FPO","FRF","FCC","BRD"}),1.28,IF(OR(MID(A173,5,3)={"BIS","CRP","HRB","TUR","IND","HYG"}),1.38,1.31)))),2)</f>
        <v>10.47</v>
      </c>
      <c r="I173" s="27">
        <f>(Table1[[#This Row],[SALE PRICE]]-Table1[[#This Row],[COST PRICE]])/Table1[[#This Row],[SALE PRICE]]</f>
        <v>0.23686723973256926</v>
      </c>
      <c r="J173" s="27" t="str">
        <f>IF(Table1[[#This Row],[MARGIN]]&lt;25%, "REVIEW", "OK")</f>
        <v>REVIEW</v>
      </c>
    </row>
    <row r="174" spans="1:10" ht="15.6" x14ac:dyDescent="0.3">
      <c r="A174" s="18" t="s">
        <v>306</v>
      </c>
      <c r="B174" s="12" t="s">
        <v>305</v>
      </c>
      <c r="C174" s="12" t="s">
        <v>1427</v>
      </c>
      <c r="D174" s="10" t="s">
        <v>8</v>
      </c>
      <c r="E174" s="10" t="s">
        <v>8</v>
      </c>
      <c r="F174" s="12" t="s">
        <v>8</v>
      </c>
      <c r="G174" s="46">
        <v>8.99</v>
      </c>
      <c r="H174" s="47" cm="1">
        <f t="array" ref="H174">ROUND(G174*IF(OR(MID(A174,5,3)={"BFF","PRK","FPL","LMB","FFI","MET","RIC","FLR","SUG","OIL","DRK","JCE","FEG"}),1.21,IF(OR(MID(A174,5,3)={"FVG","FFR"}),1.33,IF(OR(MID(A174,5,3)={"FBT","FCH","FMK","FYG","MLK","ICE","FRV","FPO","FRF","FCC","BRD"}),1.28,IF(OR(MID(A174,5,3)={"BIS","CRP","HRB","TUR","IND","HYG"}),1.38,1.31)))),2)</f>
        <v>11.78</v>
      </c>
      <c r="I174" s="29">
        <f>(Table1[[#This Row],[SALE PRICE]]-Table1[[#This Row],[COST PRICE]])/Table1[[#This Row],[SALE PRICE]]</f>
        <v>0.23684210526315783</v>
      </c>
      <c r="J174" s="26" t="str">
        <f>IF(Table1[[#This Row],[MARGIN]]&lt;25%, "REVIEW", "OK")</f>
        <v>REVIEW</v>
      </c>
    </row>
    <row r="175" spans="1:10" ht="15.6" x14ac:dyDescent="0.3">
      <c r="A175" s="18" t="s">
        <v>308</v>
      </c>
      <c r="B175" s="13" t="s">
        <v>307</v>
      </c>
      <c r="C175" s="13" t="s">
        <v>1427</v>
      </c>
      <c r="D175" s="11" t="s">
        <v>8</v>
      </c>
      <c r="E175" s="11" t="s">
        <v>8</v>
      </c>
      <c r="F175" s="13" t="s">
        <v>8</v>
      </c>
      <c r="G175" s="47">
        <v>6.99</v>
      </c>
      <c r="H175" s="46" cm="1">
        <f t="array" ref="H175">ROUND(G175*IF(OR(MID(A175,5,3)={"BFF","PRK","FPL","LMB","FFI","MET","RIC","FLR","SUG","OIL","DRK","JCE","FEG"}),1.21,IF(OR(MID(A175,5,3)={"FVG","FFR"}),1.33,IF(OR(MID(A175,5,3)={"FBT","FCH","FMK","FYG","MLK","ICE","FRV","FPO","FRF","FCC","BRD"}),1.28,IF(OR(MID(A175,5,3)={"BIS","CRP","HRB","TUR","IND","HYG"}),1.38,1.31)))),2)</f>
        <v>9.16</v>
      </c>
      <c r="I175" s="27">
        <f>(Table1[[#This Row],[SALE PRICE]]-Table1[[#This Row],[COST PRICE]])/Table1[[#This Row],[SALE PRICE]]</f>
        <v>0.23689956331877729</v>
      </c>
      <c r="J175" s="27" t="str">
        <f>IF(Table1[[#This Row],[MARGIN]]&lt;25%, "REVIEW", "OK")</f>
        <v>REVIEW</v>
      </c>
    </row>
    <row r="176" spans="1:10" ht="15.6" x14ac:dyDescent="0.3">
      <c r="A176" s="18" t="s">
        <v>310</v>
      </c>
      <c r="B176" s="12" t="s">
        <v>309</v>
      </c>
      <c r="C176" s="12" t="s">
        <v>1427</v>
      </c>
      <c r="D176" s="10" t="s">
        <v>8</v>
      </c>
      <c r="E176" s="10" t="s">
        <v>8</v>
      </c>
      <c r="F176" s="12" t="s">
        <v>8</v>
      </c>
      <c r="G176" s="46">
        <v>5.79</v>
      </c>
      <c r="H176" s="47" cm="1">
        <f t="array" ref="H176">ROUND(G176*IF(OR(MID(A176,5,3)={"BFF","PRK","FPL","LMB","FFI","MET","RIC","FLR","SUG","OIL","DRK","JCE","FEG"}),1.21,IF(OR(MID(A176,5,3)={"FVG","FFR"}),1.33,IF(OR(MID(A176,5,3)={"FBT","FCH","FMK","FYG","MLK","ICE","FRV","FPO","FRF","FCC","BRD"}),1.28,IF(OR(MID(A176,5,3)={"BIS","CRP","HRB","TUR","IND","HYG"}),1.38,1.31)))),2)</f>
        <v>7.58</v>
      </c>
      <c r="I176" s="29">
        <f>(Table1[[#This Row],[SALE PRICE]]-Table1[[#This Row],[COST PRICE]])/Table1[[#This Row],[SALE PRICE]]</f>
        <v>0.23614775725593667</v>
      </c>
      <c r="J176" s="26" t="str">
        <f>IF(Table1[[#This Row],[MARGIN]]&lt;25%, "REVIEW", "OK")</f>
        <v>REVIEW</v>
      </c>
    </row>
    <row r="177" spans="1:10" ht="15.6" x14ac:dyDescent="0.3">
      <c r="A177" s="18" t="s">
        <v>312</v>
      </c>
      <c r="B177" s="13" t="s">
        <v>311</v>
      </c>
      <c r="C177" s="13" t="s">
        <v>1427</v>
      </c>
      <c r="D177" s="11" t="s">
        <v>8</v>
      </c>
      <c r="E177" s="11" t="s">
        <v>8</v>
      </c>
      <c r="F177" s="13" t="s">
        <v>8</v>
      </c>
      <c r="G177" s="47">
        <v>7.49</v>
      </c>
      <c r="H177" s="46" cm="1">
        <f t="array" ref="H177">ROUND(G177*IF(OR(MID(A177,5,3)={"BFF","PRK","FPL","LMB","FFI","MET","RIC","FLR","SUG","OIL","DRK","JCE","FEG"}),1.21,IF(OR(MID(A177,5,3)={"FVG","FFR"}),1.33,IF(OR(MID(A177,5,3)={"FBT","FCH","FMK","FYG","MLK","ICE","FRV","FPO","FRF","FCC","BRD"}),1.28,IF(OR(MID(A177,5,3)={"BIS","CRP","HRB","TUR","IND","HYG"}),1.38,1.31)))),2)</f>
        <v>9.81</v>
      </c>
      <c r="I177" s="27">
        <f>(Table1[[#This Row],[SALE PRICE]]-Table1[[#This Row],[COST PRICE]])/Table1[[#This Row],[SALE PRICE]]</f>
        <v>0.23649337410805302</v>
      </c>
      <c r="J177" s="27" t="str">
        <f>IF(Table1[[#This Row],[MARGIN]]&lt;25%, "REVIEW", "OK")</f>
        <v>REVIEW</v>
      </c>
    </row>
    <row r="178" spans="1:10" ht="15.6" x14ac:dyDescent="0.3">
      <c r="A178" s="18" t="s">
        <v>1422</v>
      </c>
      <c r="B178" s="12" t="s">
        <v>313</v>
      </c>
      <c r="C178" s="12" t="s">
        <v>1427</v>
      </c>
      <c r="D178" s="10" t="s">
        <v>8</v>
      </c>
      <c r="E178" s="10" t="s">
        <v>8</v>
      </c>
      <c r="F178" s="12" t="s">
        <v>8</v>
      </c>
      <c r="G178" s="46">
        <v>9.99</v>
      </c>
      <c r="H178" s="47" cm="1">
        <f t="array" ref="H178">ROUND(G178*IF(OR(MID(A178,5,3)={"BFF","PRK","FPL","LMB","FFI","MET","RIC","FLR","SUG","OIL","DRK","JCE","FEG"}),1.21,IF(OR(MID(A178,5,3)={"FVG","FFR"}),1.33,IF(OR(MID(A178,5,3)={"FBT","FCH","FMK","FYG","MLK","ICE","FRV","FPO","FRF","FCC","BRD"}),1.28,IF(OR(MID(A178,5,3)={"BIS","CRP","HRB","TUR","IND","HYG"}),1.38,1.31)))),2)</f>
        <v>13.09</v>
      </c>
      <c r="I178" s="29">
        <f>(Table1[[#This Row],[SALE PRICE]]-Table1[[#This Row],[COST PRICE]])/Table1[[#This Row],[SALE PRICE]]</f>
        <v>0.23682200152788385</v>
      </c>
      <c r="J178" s="26" t="str">
        <f>IF(Table1[[#This Row],[MARGIN]]&lt;25%, "REVIEW", "OK")</f>
        <v>REVIEW</v>
      </c>
    </row>
    <row r="179" spans="1:10" s="1" customFormat="1" ht="31.2" x14ac:dyDescent="0.3">
      <c r="A179" s="16" t="s">
        <v>314</v>
      </c>
      <c r="B179" s="2" t="s">
        <v>8</v>
      </c>
      <c r="C179" s="2"/>
      <c r="D179" s="2" t="s">
        <v>8</v>
      </c>
      <c r="E179" s="2" t="s">
        <v>8</v>
      </c>
      <c r="F179" s="2" t="s">
        <v>8</v>
      </c>
      <c r="G179" s="48" t="s">
        <v>8</v>
      </c>
      <c r="H179" s="48" t="e" cm="1">
        <f t="array" ref="H179">ROUND(G179*IF(OR(MID(A179,5,3)={"BFF","PRK","FPL","LMB","FFI","MET","RIC","FLR","SUG","OIL","DRK","JCE","FEG"}),1.21,IF(OR(MID(A179,5,3)={"FVG","FFR"}),1.33,IF(OR(MID(A179,5,3)={"FBT","FCH","FMK","FYG","MLK","ICE","FRV","FPO","FRF","FCC","BRD"}),1.28,IF(OR(MID(A179,5,3)={"BIS","CRP","HRB","TUR","IND","HYG"}),1.38,1.31)))),2)</f>
        <v>#VALUE!</v>
      </c>
      <c r="I179" s="19"/>
      <c r="J179" s="19"/>
    </row>
    <row r="180" spans="1:10" ht="15.6" x14ac:dyDescent="0.3">
      <c r="A180" s="18" t="s">
        <v>315</v>
      </c>
      <c r="B180" s="13" t="s">
        <v>316</v>
      </c>
      <c r="C180" s="13" t="s">
        <v>1428</v>
      </c>
      <c r="D180" s="11" t="s">
        <v>8</v>
      </c>
      <c r="E180" s="11" t="s">
        <v>8</v>
      </c>
      <c r="F180" s="13" t="s">
        <v>8</v>
      </c>
      <c r="G180" s="47">
        <v>20.49</v>
      </c>
      <c r="H180" s="47" cm="1">
        <f t="array" ref="H180">ROUND(G180*IF(OR(MID(A180,5,3)={"BFF","PRK","FPL","LMB","FFI","MET","RIC","FLR","SUG","OIL","DRK","JCE","FEG"}),1.21,IF(OR(MID(A180,5,3)={"FVG","FFR"}),1.33,IF(OR(MID(A180,5,3)={"FBT","FCH","FMK","FYG","MLK","ICE","FRV","FPO","FRF","FCC","BRD"}),1.28,IF(OR(MID(A180,5,3)={"BIS","CRP","HRB","TUR","IND","HYG"}),1.38,1.31)))),2)</f>
        <v>26.84</v>
      </c>
      <c r="I180" s="29">
        <f>(Table1[[#This Row],[SALE PRICE]]-Table1[[#This Row],[COST PRICE]])/Table1[[#This Row],[SALE PRICE]]</f>
        <v>0.23658718330849485</v>
      </c>
      <c r="J180" s="26" t="str">
        <f>IF(Table1[[#This Row],[MARGIN]]&lt;25%, "REVIEW", "OK")</f>
        <v>REVIEW</v>
      </c>
    </row>
    <row r="181" spans="1:10" ht="15.6" x14ac:dyDescent="0.3">
      <c r="A181" s="17" t="s">
        <v>317</v>
      </c>
      <c r="B181" s="12" t="s">
        <v>318</v>
      </c>
      <c r="C181" s="12" t="s">
        <v>1428</v>
      </c>
      <c r="D181" s="10" t="s">
        <v>8</v>
      </c>
      <c r="E181" s="10" t="s">
        <v>8</v>
      </c>
      <c r="F181" s="12" t="s">
        <v>8</v>
      </c>
      <c r="G181" s="46">
        <v>18.489999999999998</v>
      </c>
      <c r="H181" s="46" cm="1">
        <f t="array" ref="H181">ROUND(G181*IF(OR(MID(A181,5,3)={"BFF","PRK","FPL","LMB","FFI","MET","RIC","FLR","SUG","OIL","DRK","JCE","FEG"}),1.21,IF(OR(MID(A181,5,3)={"FVG","FFR"}),1.33,IF(OR(MID(A181,5,3)={"FBT","FCH","FMK","FYG","MLK","ICE","FRV","FPO","FRF","FCC","BRD"}),1.28,IF(OR(MID(A181,5,3)={"BIS","CRP","HRB","TUR","IND","HYG"}),1.38,1.31)))),2)</f>
        <v>24.22</v>
      </c>
      <c r="I181" s="27">
        <f>(Table1[[#This Row],[SALE PRICE]]-Table1[[#This Row],[COST PRICE]])/Table1[[#This Row],[SALE PRICE]]</f>
        <v>0.23658133773740714</v>
      </c>
      <c r="J181" s="27" t="str">
        <f>IF(Table1[[#This Row],[MARGIN]]&lt;25%, "REVIEW", "OK")</f>
        <v>REVIEW</v>
      </c>
    </row>
    <row r="182" spans="1:10" ht="15.6" x14ac:dyDescent="0.3">
      <c r="A182" s="18" t="s">
        <v>319</v>
      </c>
      <c r="B182" s="13" t="s">
        <v>320</v>
      </c>
      <c r="C182" s="13" t="s">
        <v>1428</v>
      </c>
      <c r="D182" s="11" t="s">
        <v>8</v>
      </c>
      <c r="E182" s="11" t="s">
        <v>8</v>
      </c>
      <c r="F182" s="13" t="s">
        <v>8</v>
      </c>
      <c r="G182" s="47">
        <v>3.99</v>
      </c>
      <c r="H182" s="47" cm="1">
        <f t="array" ref="H182">ROUND(G182*IF(OR(MID(A182,5,3)={"BFF","PRK","FPL","LMB","FFI","MET","RIC","FLR","SUG","OIL","DRK","JCE","FEG"}),1.21,IF(OR(MID(A182,5,3)={"FVG","FFR"}),1.33,IF(OR(MID(A182,5,3)={"FBT","FCH","FMK","FYG","MLK","ICE","FRV","FPO","FRF","FCC","BRD"}),1.28,IF(OR(MID(A182,5,3)={"BIS","CRP","HRB","TUR","IND","HYG"}),1.38,1.31)))),2)</f>
        <v>5.23</v>
      </c>
      <c r="I182" s="29">
        <f>(Table1[[#This Row],[SALE PRICE]]-Table1[[#This Row],[COST PRICE]])/Table1[[#This Row],[SALE PRICE]]</f>
        <v>0.237093690248566</v>
      </c>
      <c r="J182" s="26" t="str">
        <f>IF(Table1[[#This Row],[MARGIN]]&lt;25%, "REVIEW", "OK")</f>
        <v>REVIEW</v>
      </c>
    </row>
    <row r="183" spans="1:10" ht="15.6" x14ac:dyDescent="0.3">
      <c r="A183" s="17" t="s">
        <v>321</v>
      </c>
      <c r="B183" s="12" t="s">
        <v>322</v>
      </c>
      <c r="C183" s="12" t="s">
        <v>1428</v>
      </c>
      <c r="D183" s="10" t="s">
        <v>8</v>
      </c>
      <c r="E183" s="10" t="s">
        <v>8</v>
      </c>
      <c r="F183" s="12" t="s">
        <v>8</v>
      </c>
      <c r="G183" s="46">
        <v>18.489999999999998</v>
      </c>
      <c r="H183" s="46" cm="1">
        <f t="array" ref="H183">ROUND(G183*IF(OR(MID(A183,5,3)={"BFF","PRK","FPL","LMB","FFI","MET","RIC","FLR","SUG","OIL","DRK","JCE","FEG"}),1.21,IF(OR(MID(A183,5,3)={"FVG","FFR"}),1.33,IF(OR(MID(A183,5,3)={"FBT","FCH","FMK","FYG","MLK","ICE","FRV","FPO","FRF","FCC","BRD"}),1.28,IF(OR(MID(A183,5,3)={"BIS","CRP","HRB","TUR","IND","HYG"}),1.38,1.31)))),2)</f>
        <v>24.22</v>
      </c>
      <c r="I183" s="27">
        <f>(Table1[[#This Row],[SALE PRICE]]-Table1[[#This Row],[COST PRICE]])/Table1[[#This Row],[SALE PRICE]]</f>
        <v>0.23658133773740714</v>
      </c>
      <c r="J183" s="27" t="str">
        <f>IF(Table1[[#This Row],[MARGIN]]&lt;25%, "REVIEW", "OK")</f>
        <v>REVIEW</v>
      </c>
    </row>
    <row r="184" spans="1:10" ht="15.6" x14ac:dyDescent="0.3">
      <c r="A184" s="18" t="s">
        <v>323</v>
      </c>
      <c r="B184" s="13" t="s">
        <v>324</v>
      </c>
      <c r="C184" s="13" t="s">
        <v>1428</v>
      </c>
      <c r="D184" s="11" t="s">
        <v>8</v>
      </c>
      <c r="E184" s="11" t="s">
        <v>8</v>
      </c>
      <c r="F184" s="13" t="s">
        <v>8</v>
      </c>
      <c r="G184" s="47">
        <v>19.989999999999998</v>
      </c>
      <c r="H184" s="47" cm="1">
        <f t="array" ref="H184">ROUND(G184*IF(OR(MID(A184,5,3)={"BFF","PRK","FPL","LMB","FFI","MET","RIC","FLR","SUG","OIL","DRK","JCE","FEG"}),1.21,IF(OR(MID(A184,5,3)={"FVG","FFR"}),1.33,IF(OR(MID(A184,5,3)={"FBT","FCH","FMK","FYG","MLK","ICE","FRV","FPO","FRF","FCC","BRD"}),1.28,IF(OR(MID(A184,5,3)={"BIS","CRP","HRB","TUR","IND","HYG"}),1.38,1.31)))),2)</f>
        <v>26.19</v>
      </c>
      <c r="I184" s="29">
        <f>(Table1[[#This Row],[SALE PRICE]]-Table1[[#This Row],[COST PRICE]])/Table1[[#This Row],[SALE PRICE]]</f>
        <v>0.23673157693776259</v>
      </c>
      <c r="J184" s="26" t="str">
        <f>IF(Table1[[#This Row],[MARGIN]]&lt;25%, "REVIEW", "OK")</f>
        <v>REVIEW</v>
      </c>
    </row>
    <row r="185" spans="1:10" ht="15.6" x14ac:dyDescent="0.3">
      <c r="A185" s="17" t="s">
        <v>325</v>
      </c>
      <c r="B185" s="12" t="s">
        <v>326</v>
      </c>
      <c r="C185" s="12" t="s">
        <v>1428</v>
      </c>
      <c r="D185" s="10" t="s">
        <v>8</v>
      </c>
      <c r="E185" s="10" t="s">
        <v>8</v>
      </c>
      <c r="F185" s="12" t="s">
        <v>8</v>
      </c>
      <c r="G185" s="46">
        <v>10.99</v>
      </c>
      <c r="H185" s="46" cm="1">
        <f t="array" ref="H185">ROUND(G185*IF(OR(MID(A185,5,3)={"BFF","PRK","FPL","LMB","FFI","MET","RIC","FLR","SUG","OIL","DRK","JCE","FEG"}),1.21,IF(OR(MID(A185,5,3)={"FVG","FFR"}),1.33,IF(OR(MID(A185,5,3)={"FBT","FCH","FMK","FYG","MLK","ICE","FRV","FPO","FRF","FCC","BRD"}),1.28,IF(OR(MID(A185,5,3)={"BIS","CRP","HRB","TUR","IND","HYG"}),1.38,1.31)))),2)</f>
        <v>14.4</v>
      </c>
      <c r="I185" s="27">
        <f>(Table1[[#This Row],[SALE PRICE]]-Table1[[#This Row],[COST PRICE]])/Table1[[#This Row],[SALE PRICE]]</f>
        <v>0.23680555555555555</v>
      </c>
      <c r="J185" s="27" t="str">
        <f>IF(Table1[[#This Row],[MARGIN]]&lt;25%, "REVIEW", "OK")</f>
        <v>REVIEW</v>
      </c>
    </row>
    <row r="186" spans="1:10" ht="15.6" x14ac:dyDescent="0.3">
      <c r="A186" s="18" t="s">
        <v>327</v>
      </c>
      <c r="B186" s="13" t="s">
        <v>328</v>
      </c>
      <c r="C186" s="13" t="s">
        <v>1428</v>
      </c>
      <c r="D186" s="11" t="s">
        <v>8</v>
      </c>
      <c r="E186" s="11" t="s">
        <v>8</v>
      </c>
      <c r="F186" s="13" t="s">
        <v>8</v>
      </c>
      <c r="G186" s="47">
        <v>17.690000000000001</v>
      </c>
      <c r="H186" s="47" cm="1">
        <f t="array" ref="H186">ROUND(G186*IF(OR(MID(A186,5,3)={"BFF","PRK","FPL","LMB","FFI","MET","RIC","FLR","SUG","OIL","DRK","JCE","FEG"}),1.21,IF(OR(MID(A186,5,3)={"FVG","FFR"}),1.33,IF(OR(MID(A186,5,3)={"FBT","FCH","FMK","FYG","MLK","ICE","FRV","FPO","FRF","FCC","BRD"}),1.28,IF(OR(MID(A186,5,3)={"BIS","CRP","HRB","TUR","IND","HYG"}),1.38,1.31)))),2)</f>
        <v>23.17</v>
      </c>
      <c r="I186" s="29">
        <f>(Table1[[#This Row],[SALE PRICE]]-Table1[[#This Row],[COST PRICE]])/Table1[[#This Row],[SALE PRICE]]</f>
        <v>0.23651273198100992</v>
      </c>
      <c r="J186" s="26" t="str">
        <f>IF(Table1[[#This Row],[MARGIN]]&lt;25%, "REVIEW", "OK")</f>
        <v>REVIEW</v>
      </c>
    </row>
    <row r="187" spans="1:10" ht="15.6" x14ac:dyDescent="0.3">
      <c r="A187" s="17" t="s">
        <v>329</v>
      </c>
      <c r="B187" s="12" t="s">
        <v>330</v>
      </c>
      <c r="C187" s="12" t="s">
        <v>1428</v>
      </c>
      <c r="D187" s="10" t="s">
        <v>8</v>
      </c>
      <c r="E187" s="10" t="s">
        <v>8</v>
      </c>
      <c r="F187" s="12" t="s">
        <v>8</v>
      </c>
      <c r="G187" s="46">
        <v>19.989999999999998</v>
      </c>
      <c r="H187" s="46" cm="1">
        <f t="array" ref="H187">ROUND(G187*IF(OR(MID(A187,5,3)={"BFF","PRK","FPL","LMB","FFI","MET","RIC","FLR","SUG","OIL","DRK","JCE","FEG"}),1.21,IF(OR(MID(A187,5,3)={"FVG","FFR"}),1.33,IF(OR(MID(A187,5,3)={"FBT","FCH","FMK","FYG","MLK","ICE","FRV","FPO","FRF","FCC","BRD"}),1.28,IF(OR(MID(A187,5,3)={"BIS","CRP","HRB","TUR","IND","HYG"}),1.38,1.31)))),2)</f>
        <v>26.19</v>
      </c>
      <c r="I187" s="27">
        <f>(Table1[[#This Row],[SALE PRICE]]-Table1[[#This Row],[COST PRICE]])/Table1[[#This Row],[SALE PRICE]]</f>
        <v>0.23673157693776259</v>
      </c>
      <c r="J187" s="27" t="str">
        <f>IF(Table1[[#This Row],[MARGIN]]&lt;25%, "REVIEW", "OK")</f>
        <v>REVIEW</v>
      </c>
    </row>
    <row r="188" spans="1:10" ht="15.6" x14ac:dyDescent="0.3">
      <c r="A188" s="18" t="s">
        <v>331</v>
      </c>
      <c r="B188" s="13" t="s">
        <v>332</v>
      </c>
      <c r="C188" s="13" t="s">
        <v>1428</v>
      </c>
      <c r="D188" s="11" t="s">
        <v>8</v>
      </c>
      <c r="E188" s="11" t="s">
        <v>8</v>
      </c>
      <c r="F188" s="13" t="s">
        <v>8</v>
      </c>
      <c r="G188" s="47">
        <v>9.49</v>
      </c>
      <c r="H188" s="47" cm="1">
        <f t="array" ref="H188">ROUND(G188*IF(OR(MID(A188,5,3)={"BFF","PRK","FPL","LMB","FFI","MET","RIC","FLR","SUG","OIL","DRK","JCE","FEG"}),1.21,IF(OR(MID(A188,5,3)={"FVG","FFR"}),1.33,IF(OR(MID(A188,5,3)={"FBT","FCH","FMK","FYG","MLK","ICE","FRV","FPO","FRF","FCC","BRD"}),1.28,IF(OR(MID(A188,5,3)={"BIS","CRP","HRB","TUR","IND","HYG"}),1.38,1.31)))),2)</f>
        <v>12.43</v>
      </c>
      <c r="I188" s="29">
        <f>(Table1[[#This Row],[SALE PRICE]]-Table1[[#This Row],[COST PRICE]])/Table1[[#This Row],[SALE PRICE]]</f>
        <v>0.23652453740949314</v>
      </c>
      <c r="J188" s="26" t="str">
        <f>IF(Table1[[#This Row],[MARGIN]]&lt;25%, "REVIEW", "OK")</f>
        <v>REVIEW</v>
      </c>
    </row>
    <row r="189" spans="1:10" ht="15.6" x14ac:dyDescent="0.3">
      <c r="A189" s="17" t="s">
        <v>333</v>
      </c>
      <c r="B189" s="12" t="s">
        <v>334</v>
      </c>
      <c r="C189" s="12" t="s">
        <v>1428</v>
      </c>
      <c r="D189" s="10" t="s">
        <v>8</v>
      </c>
      <c r="E189" s="10" t="s">
        <v>8</v>
      </c>
      <c r="F189" s="12" t="s">
        <v>8</v>
      </c>
      <c r="G189" s="46">
        <v>6.79</v>
      </c>
      <c r="H189" s="46" cm="1">
        <f t="array" ref="H189">ROUND(G189*IF(OR(MID(A189,5,3)={"BFF","PRK","FPL","LMB","FFI","MET","RIC","FLR","SUG","OIL","DRK","JCE","FEG"}),1.21,IF(OR(MID(A189,5,3)={"FVG","FFR"}),1.33,IF(OR(MID(A189,5,3)={"FBT","FCH","FMK","FYG","MLK","ICE","FRV","FPO","FRF","FCC","BRD"}),1.28,IF(OR(MID(A189,5,3)={"BIS","CRP","HRB","TUR","IND","HYG"}),1.38,1.31)))),2)</f>
        <v>8.89</v>
      </c>
      <c r="I189" s="27">
        <f>(Table1[[#This Row],[SALE PRICE]]-Table1[[#This Row],[COST PRICE]])/Table1[[#This Row],[SALE PRICE]]</f>
        <v>0.23622047244094493</v>
      </c>
      <c r="J189" s="27" t="str">
        <f>IF(Table1[[#This Row],[MARGIN]]&lt;25%, "REVIEW", "OK")</f>
        <v>REVIEW</v>
      </c>
    </row>
    <row r="190" spans="1:10" ht="15.6" x14ac:dyDescent="0.3">
      <c r="A190" s="18" t="s">
        <v>335</v>
      </c>
      <c r="B190" s="13" t="s">
        <v>336</v>
      </c>
      <c r="C190" s="13" t="s">
        <v>1428</v>
      </c>
      <c r="D190" s="11" t="s">
        <v>8</v>
      </c>
      <c r="E190" s="11" t="s">
        <v>8</v>
      </c>
      <c r="F190" s="13" t="s">
        <v>8</v>
      </c>
      <c r="G190" s="47">
        <v>6.79</v>
      </c>
      <c r="H190" s="47" cm="1">
        <f t="array" ref="H190">ROUND(G190*IF(OR(MID(A190,5,3)={"BFF","PRK","FPL","LMB","FFI","MET","RIC","FLR","SUG","OIL","DRK","JCE","FEG"}),1.21,IF(OR(MID(A190,5,3)={"FVG","FFR"}),1.33,IF(OR(MID(A190,5,3)={"FBT","FCH","FMK","FYG","MLK","ICE","FRV","FPO","FRF","FCC","BRD"}),1.28,IF(OR(MID(A190,5,3)={"BIS","CRP","HRB","TUR","IND","HYG"}),1.38,1.31)))),2)</f>
        <v>8.89</v>
      </c>
      <c r="I190" s="29">
        <f>(Table1[[#This Row],[SALE PRICE]]-Table1[[#This Row],[COST PRICE]])/Table1[[#This Row],[SALE PRICE]]</f>
        <v>0.23622047244094493</v>
      </c>
      <c r="J190" s="26" t="str">
        <f>IF(Table1[[#This Row],[MARGIN]]&lt;25%, "REVIEW", "OK")</f>
        <v>REVIEW</v>
      </c>
    </row>
    <row r="191" spans="1:10" ht="15.6" x14ac:dyDescent="0.3">
      <c r="A191" s="17" t="s">
        <v>337</v>
      </c>
      <c r="B191" s="12" t="s">
        <v>338</v>
      </c>
      <c r="C191" s="12" t="s">
        <v>1428</v>
      </c>
      <c r="D191" s="10" t="s">
        <v>8</v>
      </c>
      <c r="E191" s="10" t="s">
        <v>8</v>
      </c>
      <c r="F191" s="12" t="s">
        <v>8</v>
      </c>
      <c r="G191" s="46">
        <v>6.79</v>
      </c>
      <c r="H191" s="46" cm="1">
        <f t="array" ref="H191">ROUND(G191*IF(OR(MID(A191,5,3)={"BFF","PRK","FPL","LMB","FFI","MET","RIC","FLR","SUG","OIL","DRK","JCE","FEG"}),1.21,IF(OR(MID(A191,5,3)={"FVG","FFR"}),1.33,IF(OR(MID(A191,5,3)={"FBT","FCH","FMK","FYG","MLK","ICE","FRV","FPO","FRF","FCC","BRD"}),1.28,IF(OR(MID(A191,5,3)={"BIS","CRP","HRB","TUR","IND","HYG"}),1.38,1.31)))),2)</f>
        <v>8.89</v>
      </c>
      <c r="I191" s="27">
        <f>(Table1[[#This Row],[SALE PRICE]]-Table1[[#This Row],[COST PRICE]])/Table1[[#This Row],[SALE PRICE]]</f>
        <v>0.23622047244094493</v>
      </c>
      <c r="J191" s="27" t="str">
        <f>IF(Table1[[#This Row],[MARGIN]]&lt;25%, "REVIEW", "OK")</f>
        <v>REVIEW</v>
      </c>
    </row>
    <row r="192" spans="1:10" ht="15.6" x14ac:dyDescent="0.3">
      <c r="A192" s="18" t="s">
        <v>339</v>
      </c>
      <c r="B192" s="13" t="s">
        <v>340</v>
      </c>
      <c r="C192" s="13" t="s">
        <v>1427</v>
      </c>
      <c r="D192" s="11" t="s">
        <v>8</v>
      </c>
      <c r="E192" s="11" t="s">
        <v>8</v>
      </c>
      <c r="F192" s="13" t="s">
        <v>8</v>
      </c>
      <c r="G192" s="47">
        <v>9.49</v>
      </c>
      <c r="H192" s="47" cm="1">
        <f t="array" ref="H192">ROUND(G192*IF(OR(MID(A192,5,3)={"BFF","PRK","FPL","LMB","FFI","MET","RIC","FLR","SUG","OIL","DRK","JCE","FEG"}),1.21,IF(OR(MID(A192,5,3)={"FVG","FFR"}),1.33,IF(OR(MID(A192,5,3)={"FBT","FCH","FMK","FYG","MLK","ICE","FRV","FPO","FRF","FCC","BRD"}),1.28,IF(OR(MID(A192,5,3)={"BIS","CRP","HRB","TUR","IND","HYG"}),1.38,1.31)))),2)</f>
        <v>12.43</v>
      </c>
      <c r="I192" s="29">
        <f>(Table1[[#This Row],[SALE PRICE]]-Table1[[#This Row],[COST PRICE]])/Table1[[#This Row],[SALE PRICE]]</f>
        <v>0.23652453740949314</v>
      </c>
      <c r="J192" s="26" t="str">
        <f>IF(Table1[[#This Row],[MARGIN]]&lt;25%, "REVIEW", "OK")</f>
        <v>REVIEW</v>
      </c>
    </row>
    <row r="193" spans="1:10" ht="15.6" x14ac:dyDescent="0.3">
      <c r="A193" s="17" t="s">
        <v>341</v>
      </c>
      <c r="B193" s="12" t="s">
        <v>342</v>
      </c>
      <c r="C193" s="12" t="s">
        <v>1431</v>
      </c>
      <c r="D193" s="10" t="s">
        <v>8</v>
      </c>
      <c r="E193" s="10" t="s">
        <v>8</v>
      </c>
      <c r="F193" s="12" t="s">
        <v>8</v>
      </c>
      <c r="G193" s="46">
        <v>11.89</v>
      </c>
      <c r="H193" s="46" cm="1">
        <f t="array" ref="H193">ROUND(G193*IF(OR(MID(A193,5,3)={"BFF","PRK","FPL","LMB","FFI","MET","RIC","FLR","SUG","OIL","DRK","JCE","FEG"}),1.21,IF(OR(MID(A193,5,3)={"FVG","FFR"}),1.33,IF(OR(MID(A193,5,3)={"FBT","FCH","FMK","FYG","MLK","ICE","FRV","FPO","FRF","FCC","BRD"}),1.28,IF(OR(MID(A193,5,3)={"BIS","CRP","HRB","TUR","IND","HYG"}),1.38,1.31)))),2)</f>
        <v>15.58</v>
      </c>
      <c r="I193" s="27">
        <f>(Table1[[#This Row],[SALE PRICE]]-Table1[[#This Row],[COST PRICE]])/Table1[[#This Row],[SALE PRICE]]</f>
        <v>0.23684210526315785</v>
      </c>
      <c r="J193" s="27" t="str">
        <f>IF(Table1[[#This Row],[MARGIN]]&lt;25%, "REVIEW", "OK")</f>
        <v>REVIEW</v>
      </c>
    </row>
    <row r="194" spans="1:10" ht="15.6" x14ac:dyDescent="0.3">
      <c r="A194" s="18" t="s">
        <v>343</v>
      </c>
      <c r="B194" s="13" t="s">
        <v>344</v>
      </c>
      <c r="C194" s="13" t="s">
        <v>1431</v>
      </c>
      <c r="D194" s="11" t="s">
        <v>8</v>
      </c>
      <c r="E194" s="11" t="s">
        <v>8</v>
      </c>
      <c r="F194" s="13" t="s">
        <v>8</v>
      </c>
      <c r="G194" s="47">
        <v>14.59</v>
      </c>
      <c r="H194" s="47" cm="1">
        <f t="array" ref="H194">ROUND(G194*IF(OR(MID(A194,5,3)={"BFF","PRK","FPL","LMB","FFI","MET","RIC","FLR","SUG","OIL","DRK","JCE","FEG"}),1.21,IF(OR(MID(A194,5,3)={"FVG","FFR"}),1.33,IF(OR(MID(A194,5,3)={"FBT","FCH","FMK","FYG","MLK","ICE","FRV","FPO","FRF","FCC","BRD"}),1.28,IF(OR(MID(A194,5,3)={"BIS","CRP","HRB","TUR","IND","HYG"}),1.38,1.31)))),2)</f>
        <v>19.11</v>
      </c>
      <c r="I194" s="29">
        <f>(Table1[[#This Row],[SALE PRICE]]-Table1[[#This Row],[COST PRICE]])/Table1[[#This Row],[SALE PRICE]]</f>
        <v>0.23652537938252222</v>
      </c>
      <c r="J194" s="26" t="str">
        <f>IF(Table1[[#This Row],[MARGIN]]&lt;25%, "REVIEW", "OK")</f>
        <v>REVIEW</v>
      </c>
    </row>
    <row r="195" spans="1:10" ht="15.6" x14ac:dyDescent="0.3">
      <c r="A195" s="17" t="s">
        <v>345</v>
      </c>
      <c r="B195" s="12" t="s">
        <v>346</v>
      </c>
      <c r="C195" s="12" t="s">
        <v>1427</v>
      </c>
      <c r="D195" s="10" t="s">
        <v>8</v>
      </c>
      <c r="E195" s="10" t="s">
        <v>8</v>
      </c>
      <c r="F195" s="12" t="s">
        <v>8</v>
      </c>
      <c r="G195" s="46">
        <v>14.19</v>
      </c>
      <c r="H195" s="46" cm="1">
        <f t="array" ref="H195">ROUND(G195*IF(OR(MID(A195,5,3)={"BFF","PRK","FPL","LMB","FFI","MET","RIC","FLR","SUG","OIL","DRK","JCE","FEG"}),1.21,IF(OR(MID(A195,5,3)={"FVG","FFR"}),1.33,IF(OR(MID(A195,5,3)={"FBT","FCH","FMK","FYG","MLK","ICE","FRV","FPO","FRF","FCC","BRD"}),1.28,IF(OR(MID(A195,5,3)={"BIS","CRP","HRB","TUR","IND","HYG"}),1.38,1.31)))),2)</f>
        <v>18.59</v>
      </c>
      <c r="I195" s="27">
        <f>(Table1[[#This Row],[SALE PRICE]]-Table1[[#This Row],[COST PRICE]])/Table1[[#This Row],[SALE PRICE]]</f>
        <v>0.23668639053254439</v>
      </c>
      <c r="J195" s="27" t="str">
        <f>IF(Table1[[#This Row],[MARGIN]]&lt;25%, "REVIEW", "OK")</f>
        <v>REVIEW</v>
      </c>
    </row>
    <row r="196" spans="1:10" ht="15.6" x14ac:dyDescent="0.3">
      <c r="A196" s="18" t="s">
        <v>347</v>
      </c>
      <c r="B196" s="13" t="s">
        <v>348</v>
      </c>
      <c r="C196" s="13" t="s">
        <v>1431</v>
      </c>
      <c r="D196" s="11" t="s">
        <v>8</v>
      </c>
      <c r="E196" s="11" t="s">
        <v>8</v>
      </c>
      <c r="F196" s="13" t="s">
        <v>8</v>
      </c>
      <c r="G196" s="47">
        <v>6.59</v>
      </c>
      <c r="H196" s="47" cm="1">
        <f t="array" ref="H196">ROUND(G196*IF(OR(MID(A196,5,3)={"BFF","PRK","FPL","LMB","FFI","MET","RIC","FLR","SUG","OIL","DRK","JCE","FEG"}),1.21,IF(OR(MID(A196,5,3)={"FVG","FFR"}),1.33,IF(OR(MID(A196,5,3)={"FBT","FCH","FMK","FYG","MLK","ICE","FRV","FPO","FRF","FCC","BRD"}),1.28,IF(OR(MID(A196,5,3)={"BIS","CRP","HRB","TUR","IND","HYG"}),1.38,1.31)))),2)</f>
        <v>8.6300000000000008</v>
      </c>
      <c r="I196" s="29">
        <f>(Table1[[#This Row],[SALE PRICE]]-Table1[[#This Row],[COST PRICE]])/Table1[[#This Row],[SALE PRICE]]</f>
        <v>0.23638470451911944</v>
      </c>
      <c r="J196" s="26" t="str">
        <f>IF(Table1[[#This Row],[MARGIN]]&lt;25%, "REVIEW", "OK")</f>
        <v>REVIEW</v>
      </c>
    </row>
    <row r="197" spans="1:10" ht="15.6" x14ac:dyDescent="0.3">
      <c r="A197" s="17" t="s">
        <v>349</v>
      </c>
      <c r="B197" s="12" t="s">
        <v>350</v>
      </c>
      <c r="C197" s="12" t="s">
        <v>1431</v>
      </c>
      <c r="D197" s="10" t="s">
        <v>8</v>
      </c>
      <c r="E197" s="10" t="s">
        <v>8</v>
      </c>
      <c r="F197" s="12" t="s">
        <v>8</v>
      </c>
      <c r="G197" s="46">
        <v>6.59</v>
      </c>
      <c r="H197" s="46" cm="1">
        <f t="array" ref="H197">ROUND(G197*IF(OR(MID(A197,5,3)={"BFF","PRK","FPL","LMB","FFI","MET","RIC","FLR","SUG","OIL","DRK","JCE","FEG"}),1.21,IF(OR(MID(A197,5,3)={"FVG","FFR"}),1.33,IF(OR(MID(A197,5,3)={"FBT","FCH","FMK","FYG","MLK","ICE","FRV","FPO","FRF","FCC","BRD"}),1.28,IF(OR(MID(A197,5,3)={"BIS","CRP","HRB","TUR","IND","HYG"}),1.38,1.31)))),2)</f>
        <v>8.6300000000000008</v>
      </c>
      <c r="I197" s="27">
        <f>(Table1[[#This Row],[SALE PRICE]]-Table1[[#This Row],[COST PRICE]])/Table1[[#This Row],[SALE PRICE]]</f>
        <v>0.23638470451911944</v>
      </c>
      <c r="J197" s="27" t="str">
        <f>IF(Table1[[#This Row],[MARGIN]]&lt;25%, "REVIEW", "OK")</f>
        <v>REVIEW</v>
      </c>
    </row>
    <row r="198" spans="1:10" ht="15.6" x14ac:dyDescent="0.3">
      <c r="A198" s="18" t="s">
        <v>351</v>
      </c>
      <c r="B198" s="13" t="s">
        <v>352</v>
      </c>
      <c r="C198" s="13" t="s">
        <v>1431</v>
      </c>
      <c r="D198" s="11" t="s">
        <v>8</v>
      </c>
      <c r="E198" s="11" t="s">
        <v>8</v>
      </c>
      <c r="F198" s="13" t="s">
        <v>8</v>
      </c>
      <c r="G198" s="47">
        <v>14.79</v>
      </c>
      <c r="H198" s="47" cm="1">
        <f t="array" ref="H198">ROUND(G198*IF(OR(MID(A198,5,3)={"BFF","PRK","FPL","LMB","FFI","MET","RIC","FLR","SUG","OIL","DRK","JCE","FEG"}),1.21,IF(OR(MID(A198,5,3)={"FVG","FFR"}),1.33,IF(OR(MID(A198,5,3)={"FBT","FCH","FMK","FYG","MLK","ICE","FRV","FPO","FRF","FCC","BRD"}),1.28,IF(OR(MID(A198,5,3)={"BIS","CRP","HRB","TUR","IND","HYG"}),1.38,1.31)))),2)</f>
        <v>19.37</v>
      </c>
      <c r="I198" s="29">
        <f>(Table1[[#This Row],[SALE PRICE]]-Table1[[#This Row],[COST PRICE]])/Table1[[#This Row],[SALE PRICE]]</f>
        <v>0.23644811564274659</v>
      </c>
      <c r="J198" s="26" t="str">
        <f>IF(Table1[[#This Row],[MARGIN]]&lt;25%, "REVIEW", "OK")</f>
        <v>REVIEW</v>
      </c>
    </row>
    <row r="199" spans="1:10" ht="15.6" x14ac:dyDescent="0.3">
      <c r="A199" s="17" t="s">
        <v>353</v>
      </c>
      <c r="B199" s="12" t="s">
        <v>354</v>
      </c>
      <c r="C199" s="12" t="s">
        <v>1432</v>
      </c>
      <c r="D199" s="10" t="s">
        <v>8</v>
      </c>
      <c r="E199" s="10" t="s">
        <v>8</v>
      </c>
      <c r="F199" s="12" t="s">
        <v>8</v>
      </c>
      <c r="G199" s="46">
        <v>61.79</v>
      </c>
      <c r="H199" s="46" cm="1">
        <f t="array" ref="H199">ROUND(G199*IF(OR(MID(A199,5,3)={"BFF","PRK","FPL","LMB","FFI","MET","RIC","FLR","SUG","OIL","DRK","JCE","FEG"}),1.21,IF(OR(MID(A199,5,3)={"FVG","FFR"}),1.33,IF(OR(MID(A199,5,3)={"FBT","FCH","FMK","FYG","MLK","ICE","FRV","FPO","FRF","FCC","BRD"}),1.28,IF(OR(MID(A199,5,3)={"BIS","CRP","HRB","TUR","IND","HYG"}),1.38,1.31)))),2)</f>
        <v>80.94</v>
      </c>
      <c r="I199" s="27">
        <f>(Table1[[#This Row],[SALE PRICE]]-Table1[[#This Row],[COST PRICE]])/Table1[[#This Row],[SALE PRICE]]</f>
        <v>0.23659500864838151</v>
      </c>
      <c r="J199" s="27" t="str">
        <f>IF(Table1[[#This Row],[MARGIN]]&lt;25%, "REVIEW", "OK")</f>
        <v>REVIEW</v>
      </c>
    </row>
    <row r="200" spans="1:10" ht="15.6" x14ac:dyDescent="0.3">
      <c r="A200" s="18" t="s">
        <v>355</v>
      </c>
      <c r="B200" s="13" t="s">
        <v>356</v>
      </c>
      <c r="C200" s="13" t="s">
        <v>1432</v>
      </c>
      <c r="D200" s="11" t="s">
        <v>8</v>
      </c>
      <c r="E200" s="11" t="s">
        <v>8</v>
      </c>
      <c r="F200" s="13" t="s">
        <v>8</v>
      </c>
      <c r="G200" s="47">
        <v>49.99</v>
      </c>
      <c r="H200" s="47" cm="1">
        <f t="array" ref="H200">ROUND(G200*IF(OR(MID(A200,5,3)={"BFF","PRK","FPL","LMB","FFI","MET","RIC","FLR","SUG","OIL","DRK","JCE","FEG"}),1.21,IF(OR(MID(A200,5,3)={"FVG","FFR"}),1.33,IF(OR(MID(A200,5,3)={"FBT","FCH","FMK","FYG","MLK","ICE","FRV","FPO","FRF","FCC","BRD"}),1.28,IF(OR(MID(A200,5,3)={"BIS","CRP","HRB","TUR","IND","HYG"}),1.38,1.31)))),2)</f>
        <v>65.489999999999995</v>
      </c>
      <c r="I200" s="29">
        <f>(Table1[[#This Row],[SALE PRICE]]-Table1[[#This Row],[COST PRICE]])/Table1[[#This Row],[SALE PRICE]]</f>
        <v>0.23667735532142303</v>
      </c>
      <c r="J200" s="26" t="str">
        <f>IF(Table1[[#This Row],[MARGIN]]&lt;25%, "REVIEW", "OK")</f>
        <v>REVIEW</v>
      </c>
    </row>
    <row r="201" spans="1:10" ht="15.6" x14ac:dyDescent="0.3">
      <c r="A201" s="17" t="s">
        <v>357</v>
      </c>
      <c r="B201" s="12" t="s">
        <v>358</v>
      </c>
      <c r="C201" s="12" t="s">
        <v>1431</v>
      </c>
      <c r="D201" s="10" t="s">
        <v>8</v>
      </c>
      <c r="E201" s="10" t="s">
        <v>8</v>
      </c>
      <c r="F201" s="12" t="s">
        <v>8</v>
      </c>
      <c r="G201" s="46">
        <v>14.79</v>
      </c>
      <c r="H201" s="46" cm="1">
        <f t="array" ref="H201">ROUND(G201*IF(OR(MID(A201,5,3)={"BFF","PRK","FPL","LMB","FFI","MET","RIC","FLR","SUG","OIL","DRK","JCE","FEG"}),1.21,IF(OR(MID(A201,5,3)={"FVG","FFR"}),1.33,IF(OR(MID(A201,5,3)={"FBT","FCH","FMK","FYG","MLK","ICE","FRV","FPO","FRF","FCC","BRD"}),1.28,IF(OR(MID(A201,5,3)={"BIS","CRP","HRB","TUR","IND","HYG"}),1.38,1.31)))),2)</f>
        <v>19.37</v>
      </c>
      <c r="I201" s="27">
        <f>(Table1[[#This Row],[SALE PRICE]]-Table1[[#This Row],[COST PRICE]])/Table1[[#This Row],[SALE PRICE]]</f>
        <v>0.23644811564274659</v>
      </c>
      <c r="J201" s="27" t="str">
        <f>IF(Table1[[#This Row],[MARGIN]]&lt;25%, "REVIEW", "OK")</f>
        <v>REVIEW</v>
      </c>
    </row>
    <row r="202" spans="1:10" s="1" customFormat="1" ht="15.6" x14ac:dyDescent="0.3">
      <c r="A202" s="16" t="s">
        <v>359</v>
      </c>
      <c r="B202" s="2" t="s">
        <v>8</v>
      </c>
      <c r="C202" s="2"/>
      <c r="D202" s="2" t="s">
        <v>8</v>
      </c>
      <c r="E202" s="2" t="s">
        <v>8</v>
      </c>
      <c r="F202" s="2" t="s">
        <v>8</v>
      </c>
      <c r="G202" s="48" t="s">
        <v>8</v>
      </c>
      <c r="H202" s="48" t="e" cm="1">
        <f t="array" ref="H202">ROUND(G202*IF(OR(MID(A202,5,3)={"BFF","PRK","FPL","LMB","FFI","MET","RIC","FLR","SUG","OIL","DRK","JCE","FEG"}),1.21,IF(OR(MID(A202,5,3)={"FVG","FFR"}),1.33,IF(OR(MID(A202,5,3)={"FBT","FCH","FMK","FYG","MLK","ICE","FRV","FPO","FRF","FCC","BRD"}),1.28,IF(OR(MID(A202,5,3)={"BIS","CRP","HRB","TUR","IND","HYG"}),1.38,1.31)))),2)</f>
        <v>#VALUE!</v>
      </c>
      <c r="I202" s="19"/>
      <c r="J202" s="19"/>
    </row>
    <row r="203" spans="1:10" ht="15.6" x14ac:dyDescent="0.3">
      <c r="A203" s="18" t="s">
        <v>360</v>
      </c>
      <c r="B203" s="13" t="s">
        <v>1043</v>
      </c>
      <c r="C203" s="13" t="s">
        <v>1427</v>
      </c>
      <c r="D203" s="11" t="s">
        <v>8</v>
      </c>
      <c r="E203" s="11" t="s">
        <v>8</v>
      </c>
      <c r="F203" s="13" t="s">
        <v>8</v>
      </c>
      <c r="G203" s="47">
        <v>11.79</v>
      </c>
      <c r="H203" s="46" cm="1">
        <f t="array" ref="H203">ROUND(G203*IF(OR(MID(A203,5,3)={"BFF","PRK","FPL","LMB","FFI","MET","RIC","FLR","SUG","OIL","DRK","JCE","FEG"}),1.21,IF(OR(MID(A203,5,3)={"FVG","FFR"}),1.33,IF(OR(MID(A203,5,3)={"FBT","FCH","FMK","FYG","MLK","ICE","FRV","FPO","FRF","FCC","BRD"}),1.28,IF(OR(MID(A203,5,3)={"BIS","CRP","HRB","TUR","IND","HYG"}),1.38,1.31)))),2)</f>
        <v>15.44</v>
      </c>
      <c r="I203" s="27">
        <f>(Table1[[#This Row],[SALE PRICE]]-Table1[[#This Row],[COST PRICE]])/Table1[[#This Row],[SALE PRICE]]</f>
        <v>0.23639896373056998</v>
      </c>
      <c r="J203" s="27" t="str">
        <f>IF(Table1[[#This Row],[MARGIN]]&lt;25%, "REVIEW", "OK")</f>
        <v>REVIEW</v>
      </c>
    </row>
    <row r="204" spans="1:10" ht="15.6" x14ac:dyDescent="0.3">
      <c r="A204" s="17" t="s">
        <v>361</v>
      </c>
      <c r="B204" s="12" t="s">
        <v>362</v>
      </c>
      <c r="C204" s="12" t="s">
        <v>1428</v>
      </c>
      <c r="D204" s="10" t="s">
        <v>8</v>
      </c>
      <c r="E204" s="10" t="s">
        <v>8</v>
      </c>
      <c r="F204" s="12" t="s">
        <v>8</v>
      </c>
      <c r="G204" s="46">
        <v>34.49</v>
      </c>
      <c r="H204" s="47" cm="1">
        <f t="array" ref="H204">ROUND(G204*IF(OR(MID(A204,5,3)={"BFF","PRK","FPL","LMB","FFI","MET","RIC","FLR","SUG","OIL","DRK","JCE","FEG"}),1.21,IF(OR(MID(A204,5,3)={"FVG","FFR"}),1.33,IF(OR(MID(A204,5,3)={"FBT","FCH","FMK","FYG","MLK","ICE","FRV","FPO","FRF","FCC","BRD"}),1.28,IF(OR(MID(A204,5,3)={"BIS","CRP","HRB","TUR","IND","HYG"}),1.38,1.31)))),2)</f>
        <v>45.18</v>
      </c>
      <c r="I204" s="29">
        <f>(Table1[[#This Row],[SALE PRICE]]-Table1[[#This Row],[COST PRICE]])/Table1[[#This Row],[SALE PRICE]]</f>
        <v>0.23660911907923854</v>
      </c>
      <c r="J204" s="26" t="str">
        <f>IF(Table1[[#This Row],[MARGIN]]&lt;25%, "REVIEW", "OK")</f>
        <v>REVIEW</v>
      </c>
    </row>
    <row r="205" spans="1:10" ht="15.6" x14ac:dyDescent="0.3">
      <c r="A205" s="18" t="s">
        <v>363</v>
      </c>
      <c r="B205" s="13" t="s">
        <v>364</v>
      </c>
      <c r="C205" s="13" t="s">
        <v>1428</v>
      </c>
      <c r="D205" s="11" t="s">
        <v>8</v>
      </c>
      <c r="E205" s="11" t="s">
        <v>8</v>
      </c>
      <c r="F205" s="13" t="s">
        <v>8</v>
      </c>
      <c r="G205" s="47">
        <v>34.49</v>
      </c>
      <c r="H205" s="46" cm="1">
        <f t="array" ref="H205">ROUND(G205*IF(OR(MID(A205,5,3)={"BFF","PRK","FPL","LMB","FFI","MET","RIC","FLR","SUG","OIL","DRK","JCE","FEG"}),1.21,IF(OR(MID(A205,5,3)={"FVG","FFR"}),1.33,IF(OR(MID(A205,5,3)={"FBT","FCH","FMK","FYG","MLK","ICE","FRV","FPO","FRF","FCC","BRD"}),1.28,IF(OR(MID(A205,5,3)={"BIS","CRP","HRB","TUR","IND","HYG"}),1.38,1.31)))),2)</f>
        <v>45.18</v>
      </c>
      <c r="I205" s="27">
        <f>(Table1[[#This Row],[SALE PRICE]]-Table1[[#This Row],[COST PRICE]])/Table1[[#This Row],[SALE PRICE]]</f>
        <v>0.23660911907923854</v>
      </c>
      <c r="J205" s="27" t="str">
        <f>IF(Table1[[#This Row],[MARGIN]]&lt;25%, "REVIEW", "OK")</f>
        <v>REVIEW</v>
      </c>
    </row>
    <row r="206" spans="1:10" ht="15.6" x14ac:dyDescent="0.3">
      <c r="A206" s="17" t="s">
        <v>365</v>
      </c>
      <c r="B206" s="12" t="s">
        <v>366</v>
      </c>
      <c r="C206" s="12" t="s">
        <v>1428</v>
      </c>
      <c r="D206" s="10" t="s">
        <v>8</v>
      </c>
      <c r="E206" s="10" t="s">
        <v>8</v>
      </c>
      <c r="F206" s="12" t="s">
        <v>8</v>
      </c>
      <c r="G206" s="46">
        <v>34.49</v>
      </c>
      <c r="H206" s="47" cm="1">
        <f t="array" ref="H206">ROUND(G206*IF(OR(MID(A206,5,3)={"BFF","PRK","FPL","LMB","FFI","MET","RIC","FLR","SUG","OIL","DRK","JCE","FEG"}),1.21,IF(OR(MID(A206,5,3)={"FVG","FFR"}),1.33,IF(OR(MID(A206,5,3)={"FBT","FCH","FMK","FYG","MLK","ICE","FRV","FPO","FRF","FCC","BRD"}),1.28,IF(OR(MID(A206,5,3)={"BIS","CRP","HRB","TUR","IND","HYG"}),1.38,1.31)))),2)</f>
        <v>45.18</v>
      </c>
      <c r="I206" s="29">
        <f>(Table1[[#This Row],[SALE PRICE]]-Table1[[#This Row],[COST PRICE]])/Table1[[#This Row],[SALE PRICE]]</f>
        <v>0.23660911907923854</v>
      </c>
      <c r="J206" s="26" t="str">
        <f>IF(Table1[[#This Row],[MARGIN]]&lt;25%, "REVIEW", "OK")</f>
        <v>REVIEW</v>
      </c>
    </row>
    <row r="207" spans="1:10" ht="15.6" x14ac:dyDescent="0.3">
      <c r="A207" s="18" t="s">
        <v>367</v>
      </c>
      <c r="B207" s="13" t="s">
        <v>368</v>
      </c>
      <c r="C207" s="13" t="s">
        <v>1428</v>
      </c>
      <c r="D207" s="11" t="s">
        <v>8</v>
      </c>
      <c r="E207" s="11" t="s">
        <v>8</v>
      </c>
      <c r="F207" s="13" t="s">
        <v>8</v>
      </c>
      <c r="G207" s="47">
        <v>34.49</v>
      </c>
      <c r="H207" s="46" cm="1">
        <f t="array" ref="H207">ROUND(G207*IF(OR(MID(A207,5,3)={"BFF","PRK","FPL","LMB","FFI","MET","RIC","FLR","SUG","OIL","DRK","JCE","FEG"}),1.21,IF(OR(MID(A207,5,3)={"FVG","FFR"}),1.33,IF(OR(MID(A207,5,3)={"FBT","FCH","FMK","FYG","MLK","ICE","FRV","FPO","FRF","FCC","BRD"}),1.28,IF(OR(MID(A207,5,3)={"BIS","CRP","HRB","TUR","IND","HYG"}),1.38,1.31)))),2)</f>
        <v>45.18</v>
      </c>
      <c r="I207" s="27">
        <f>(Table1[[#This Row],[SALE PRICE]]-Table1[[#This Row],[COST PRICE]])/Table1[[#This Row],[SALE PRICE]]</f>
        <v>0.23660911907923854</v>
      </c>
      <c r="J207" s="27" t="str">
        <f>IF(Table1[[#This Row],[MARGIN]]&lt;25%, "REVIEW", "OK")</f>
        <v>REVIEW</v>
      </c>
    </row>
    <row r="208" spans="1:10" ht="15.6" x14ac:dyDescent="0.3">
      <c r="A208" s="17" t="s">
        <v>369</v>
      </c>
      <c r="B208" s="12" t="s">
        <v>370</v>
      </c>
      <c r="C208" s="12" t="s">
        <v>1428</v>
      </c>
      <c r="D208" s="10" t="s">
        <v>8</v>
      </c>
      <c r="E208" s="10" t="s">
        <v>8</v>
      </c>
      <c r="F208" s="12" t="s">
        <v>8</v>
      </c>
      <c r="G208" s="46">
        <v>34.49</v>
      </c>
      <c r="H208" s="47" cm="1">
        <f t="array" ref="H208">ROUND(G208*IF(OR(MID(A208,5,3)={"BFF","PRK","FPL","LMB","FFI","MET","RIC","FLR","SUG","OIL","DRK","JCE","FEG"}),1.21,IF(OR(MID(A208,5,3)={"FVG","FFR"}),1.33,IF(OR(MID(A208,5,3)={"FBT","FCH","FMK","FYG","MLK","ICE","FRV","FPO","FRF","FCC","BRD"}),1.28,IF(OR(MID(A208,5,3)={"BIS","CRP","HRB","TUR","IND","HYG"}),1.38,1.31)))),2)</f>
        <v>45.18</v>
      </c>
      <c r="I208" s="29">
        <f>(Table1[[#This Row],[SALE PRICE]]-Table1[[#This Row],[COST PRICE]])/Table1[[#This Row],[SALE PRICE]]</f>
        <v>0.23660911907923854</v>
      </c>
      <c r="J208" s="26" t="str">
        <f>IF(Table1[[#This Row],[MARGIN]]&lt;25%, "REVIEW", "OK")</f>
        <v>REVIEW</v>
      </c>
    </row>
    <row r="209" spans="1:10" ht="15.6" x14ac:dyDescent="0.3">
      <c r="A209" s="18" t="s">
        <v>371</v>
      </c>
      <c r="B209" s="13" t="s">
        <v>372</v>
      </c>
      <c r="C209" s="13" t="s">
        <v>1428</v>
      </c>
      <c r="D209" s="11" t="s">
        <v>8</v>
      </c>
      <c r="E209" s="11" t="s">
        <v>8</v>
      </c>
      <c r="F209" s="13" t="s">
        <v>8</v>
      </c>
      <c r="G209" s="47">
        <v>34.49</v>
      </c>
      <c r="H209" s="46" cm="1">
        <f t="array" ref="H209">ROUND(G209*IF(OR(MID(A209,5,3)={"BFF","PRK","FPL","LMB","FFI","MET","RIC","FLR","SUG","OIL","DRK","JCE","FEG"}),1.21,IF(OR(MID(A209,5,3)={"FVG","FFR"}),1.33,IF(OR(MID(A209,5,3)={"FBT","FCH","FMK","FYG","MLK","ICE","FRV","FPO","FRF","FCC","BRD"}),1.28,IF(OR(MID(A209,5,3)={"BIS","CRP","HRB","TUR","IND","HYG"}),1.38,1.31)))),2)</f>
        <v>45.18</v>
      </c>
      <c r="I209" s="27">
        <f>(Table1[[#This Row],[SALE PRICE]]-Table1[[#This Row],[COST PRICE]])/Table1[[#This Row],[SALE PRICE]]</f>
        <v>0.23660911907923854</v>
      </c>
      <c r="J209" s="27" t="str">
        <f>IF(Table1[[#This Row],[MARGIN]]&lt;25%, "REVIEW", "OK")</f>
        <v>REVIEW</v>
      </c>
    </row>
    <row r="210" spans="1:10" s="1" customFormat="1" ht="15.6" x14ac:dyDescent="0.3">
      <c r="A210" s="16" t="s">
        <v>373</v>
      </c>
      <c r="B210" s="2" t="s">
        <v>8</v>
      </c>
      <c r="C210" s="2"/>
      <c r="D210" s="2" t="s">
        <v>8</v>
      </c>
      <c r="E210" s="2" t="s">
        <v>8</v>
      </c>
      <c r="F210" s="2" t="s">
        <v>8</v>
      </c>
      <c r="G210" s="48" t="s">
        <v>8</v>
      </c>
      <c r="H210" s="48" t="e" cm="1">
        <f t="array" ref="H210">ROUND(G210*IF(OR(MID(A210,5,3)={"BFF","PRK","FPL","LMB","FFI","MET","RIC","FLR","SUG","OIL","DRK","JCE","FEG"}),1.21,IF(OR(MID(A210,5,3)={"FVG","FFR"}),1.33,IF(OR(MID(A210,5,3)={"FBT","FCH","FMK","FYG","MLK","ICE","FRV","FPO","FRF","FCC","BRD"}),1.28,IF(OR(MID(A210,5,3)={"BIS","CRP","HRB","TUR","IND","HYG"}),1.38,1.31)))),2)</f>
        <v>#VALUE!</v>
      </c>
      <c r="I210" s="19"/>
      <c r="J210" s="19"/>
    </row>
    <row r="211" spans="1:10" ht="15.6" x14ac:dyDescent="0.3">
      <c r="A211" s="17" t="s">
        <v>374</v>
      </c>
      <c r="B211" s="12" t="s">
        <v>375</v>
      </c>
      <c r="C211" s="12" t="s">
        <v>1427</v>
      </c>
      <c r="D211" s="10" t="s">
        <v>8</v>
      </c>
      <c r="E211" s="10" t="s">
        <v>8</v>
      </c>
      <c r="F211" s="12" t="s">
        <v>8</v>
      </c>
      <c r="G211" s="46">
        <v>23.69</v>
      </c>
      <c r="H211" s="46" cm="1">
        <f t="array" ref="H211">ROUND(G211*IF(OR(MID(A211,5,3)={"BFF","PRK","FPL","LMB","FFI","MET","RIC","FLR","SUG","OIL","DRK","JCE","FEG"}),1.21,IF(OR(MID(A211,5,3)={"FVG","FFR"}),1.33,IF(OR(MID(A211,5,3)={"FBT","FCH","FMK","FYG","MLK","ICE","FRV","FPO","FRF","FCC","BRD"}),1.28,IF(OR(MID(A211,5,3)={"BIS","CRP","HRB","TUR","IND","HYG"}),1.38,1.31)))),2)</f>
        <v>31.03</v>
      </c>
      <c r="I211" s="27">
        <f>(Table1[[#This Row],[SALE PRICE]]-Table1[[#This Row],[COST PRICE]])/Table1[[#This Row],[SALE PRICE]]</f>
        <v>0.2365452787624879</v>
      </c>
      <c r="J211" s="27" t="str">
        <f>IF(Table1[[#This Row],[MARGIN]]&lt;25%, "REVIEW", "OK")</f>
        <v>REVIEW</v>
      </c>
    </row>
    <row r="212" spans="1:10" ht="15.6" x14ac:dyDescent="0.3">
      <c r="A212" s="18" t="s">
        <v>376</v>
      </c>
      <c r="B212" s="13" t="s">
        <v>377</v>
      </c>
      <c r="C212" s="13" t="s">
        <v>1427</v>
      </c>
      <c r="D212" s="11" t="s">
        <v>8</v>
      </c>
      <c r="E212" s="11" t="s">
        <v>8</v>
      </c>
      <c r="F212" s="13" t="s">
        <v>8</v>
      </c>
      <c r="G212" s="47">
        <v>18.690000000000001</v>
      </c>
      <c r="H212" s="47" cm="1">
        <f t="array" ref="H212">ROUND(G212*IF(OR(MID(A212,5,3)={"BFF","PRK","FPL","LMB","FFI","MET","RIC","FLR","SUG","OIL","DRK","JCE","FEG"}),1.21,IF(OR(MID(A212,5,3)={"FVG","FFR"}),1.33,IF(OR(MID(A212,5,3)={"FBT","FCH","FMK","FYG","MLK","ICE","FRV","FPO","FRF","FCC","BRD"}),1.28,IF(OR(MID(A212,5,3)={"BIS","CRP","HRB","TUR","IND","HYG"}),1.38,1.31)))),2)</f>
        <v>24.48</v>
      </c>
      <c r="I212" s="29">
        <f>(Table1[[#This Row],[SALE PRICE]]-Table1[[#This Row],[COST PRICE]])/Table1[[#This Row],[SALE PRICE]]</f>
        <v>0.23651960784313722</v>
      </c>
      <c r="J212" s="26" t="str">
        <f>IF(Table1[[#This Row],[MARGIN]]&lt;25%, "REVIEW", "OK")</f>
        <v>REVIEW</v>
      </c>
    </row>
    <row r="213" spans="1:10" ht="15.6" x14ac:dyDescent="0.3">
      <c r="A213" s="17" t="s">
        <v>378</v>
      </c>
      <c r="B213" s="12" t="s">
        <v>379</v>
      </c>
      <c r="C213" s="12" t="s">
        <v>1427</v>
      </c>
      <c r="D213" s="10" t="s">
        <v>8</v>
      </c>
      <c r="E213" s="10" t="s">
        <v>8</v>
      </c>
      <c r="F213" s="12" t="s">
        <v>8</v>
      </c>
      <c r="G213" s="46">
        <v>18.690000000000001</v>
      </c>
      <c r="H213" s="46" cm="1">
        <f t="array" ref="H213">ROUND(G213*IF(OR(MID(A213,5,3)={"BFF","PRK","FPL","LMB","FFI","MET","RIC","FLR","SUG","OIL","DRK","JCE","FEG"}),1.21,IF(OR(MID(A213,5,3)={"FVG","FFR"}),1.33,IF(OR(MID(A213,5,3)={"FBT","FCH","FMK","FYG","MLK","ICE","FRV","FPO","FRF","FCC","BRD"}),1.28,IF(OR(MID(A213,5,3)={"BIS","CRP","HRB","TUR","IND","HYG"}),1.38,1.31)))),2)</f>
        <v>24.48</v>
      </c>
      <c r="I213" s="27">
        <f>(Table1[[#This Row],[SALE PRICE]]-Table1[[#This Row],[COST PRICE]])/Table1[[#This Row],[SALE PRICE]]</f>
        <v>0.23651960784313722</v>
      </c>
      <c r="J213" s="27" t="str">
        <f>IF(Table1[[#This Row],[MARGIN]]&lt;25%, "REVIEW", "OK")</f>
        <v>REVIEW</v>
      </c>
    </row>
    <row r="214" spans="1:10" ht="15.6" x14ac:dyDescent="0.3">
      <c r="A214" s="18" t="s">
        <v>380</v>
      </c>
      <c r="B214" s="13" t="s">
        <v>381</v>
      </c>
      <c r="C214" s="13" t="s">
        <v>1429</v>
      </c>
      <c r="D214" s="11" t="s">
        <v>8</v>
      </c>
      <c r="E214" s="11" t="s">
        <v>8</v>
      </c>
      <c r="F214" s="13" t="s">
        <v>8</v>
      </c>
      <c r="G214" s="47">
        <v>0.75</v>
      </c>
      <c r="H214" s="47" cm="1">
        <f t="array" ref="H214">ROUND(G214*IF(OR(MID(A214,5,3)={"BFF","PRK","FPL","LMB","FFI","MET","RIC","FLR","SUG","OIL","DRK","JCE","FEG"}),1.21,IF(OR(MID(A214,5,3)={"FVG","FFR"}),1.33,IF(OR(MID(A214,5,3)={"FBT","FCH","FMK","FYG","MLK","ICE","FRV","FPO","FRF","FCC","BRD"}),1.28,IF(OR(MID(A214,5,3)={"BIS","CRP","HRB","TUR","IND","HYG"}),1.38,1.31)))),2)</f>
        <v>0.98</v>
      </c>
      <c r="I214" s="29">
        <f>(Table1[[#This Row],[SALE PRICE]]-Table1[[#This Row],[COST PRICE]])/Table1[[#This Row],[SALE PRICE]]</f>
        <v>0.23469387755102039</v>
      </c>
      <c r="J214" s="26" t="str">
        <f>IF(Table1[[#This Row],[MARGIN]]&lt;25%, "REVIEW", "OK")</f>
        <v>REVIEW</v>
      </c>
    </row>
    <row r="215" spans="1:10" ht="15.6" x14ac:dyDescent="0.3">
      <c r="A215" s="17" t="s">
        <v>382</v>
      </c>
      <c r="B215" s="12" t="s">
        <v>383</v>
      </c>
      <c r="C215" s="12" t="s">
        <v>1427</v>
      </c>
      <c r="D215" s="10" t="s">
        <v>8</v>
      </c>
      <c r="E215" s="10" t="s">
        <v>8</v>
      </c>
      <c r="F215" s="12" t="s">
        <v>8</v>
      </c>
      <c r="G215" s="46">
        <v>23.69</v>
      </c>
      <c r="H215" s="46" cm="1">
        <f t="array" ref="H215">ROUND(G215*IF(OR(MID(A215,5,3)={"BFF","PRK","FPL","LMB","FFI","MET","RIC","FLR","SUG","OIL","DRK","JCE","FEG"}),1.21,IF(OR(MID(A215,5,3)={"FVG","FFR"}),1.33,IF(OR(MID(A215,5,3)={"FBT","FCH","FMK","FYG","MLK","ICE","FRV","FPO","FRF","FCC","BRD"}),1.28,IF(OR(MID(A215,5,3)={"BIS","CRP","HRB","TUR","IND","HYG"}),1.38,1.31)))),2)</f>
        <v>31.03</v>
      </c>
      <c r="I215" s="27">
        <f>(Table1[[#This Row],[SALE PRICE]]-Table1[[#This Row],[COST PRICE]])/Table1[[#This Row],[SALE PRICE]]</f>
        <v>0.2365452787624879</v>
      </c>
      <c r="J215" s="27" t="str">
        <f>IF(Table1[[#This Row],[MARGIN]]&lt;25%, "REVIEW", "OK")</f>
        <v>REVIEW</v>
      </c>
    </row>
    <row r="216" spans="1:10" ht="15.6" x14ac:dyDescent="0.3">
      <c r="A216" s="18" t="s">
        <v>384</v>
      </c>
      <c r="B216" s="13" t="s">
        <v>385</v>
      </c>
      <c r="C216" s="13" t="s">
        <v>1429</v>
      </c>
      <c r="D216" s="11" t="s">
        <v>8</v>
      </c>
      <c r="E216" s="11" t="s">
        <v>8</v>
      </c>
      <c r="F216" s="13" t="s">
        <v>8</v>
      </c>
      <c r="G216" s="47">
        <v>0.75</v>
      </c>
      <c r="H216" s="47" cm="1">
        <f t="array" ref="H216">ROUND(G216*IF(OR(MID(A216,5,3)={"BFF","PRK","FPL","LMB","FFI","MET","RIC","FLR","SUG","OIL","DRK","JCE","FEG"}),1.21,IF(OR(MID(A216,5,3)={"FVG","FFR"}),1.33,IF(OR(MID(A216,5,3)={"FBT","FCH","FMK","FYG","MLK","ICE","FRV","FPO","FRF","FCC","BRD"}),1.28,IF(OR(MID(A216,5,3)={"BIS","CRP","HRB","TUR","IND","HYG"}),1.38,1.31)))),2)</f>
        <v>0.98</v>
      </c>
      <c r="I216" s="29">
        <f>(Table1[[#This Row],[SALE PRICE]]-Table1[[#This Row],[COST PRICE]])/Table1[[#This Row],[SALE PRICE]]</f>
        <v>0.23469387755102039</v>
      </c>
      <c r="J216" s="26" t="str">
        <f>IF(Table1[[#This Row],[MARGIN]]&lt;25%, "REVIEW", "OK")</f>
        <v>REVIEW</v>
      </c>
    </row>
    <row r="217" spans="1:10" ht="15.6" x14ac:dyDescent="0.3">
      <c r="A217" s="17" t="s">
        <v>386</v>
      </c>
      <c r="B217" s="12" t="s">
        <v>387</v>
      </c>
      <c r="C217" s="12" t="s">
        <v>1429</v>
      </c>
      <c r="D217" s="10" t="s">
        <v>8</v>
      </c>
      <c r="E217" s="10" t="s">
        <v>8</v>
      </c>
      <c r="F217" s="12" t="s">
        <v>8</v>
      </c>
      <c r="G217" s="46">
        <v>24.99</v>
      </c>
      <c r="H217" s="46" cm="1">
        <f t="array" ref="H217">ROUND(G217*IF(OR(MID(A217,5,3)={"BFF","PRK","FPL","LMB","FFI","MET","RIC","FLR","SUG","OIL","DRK","JCE","FEG"}),1.21,IF(OR(MID(A217,5,3)={"FVG","FFR"}),1.33,IF(OR(MID(A217,5,3)={"FBT","FCH","FMK","FYG","MLK","ICE","FRV","FPO","FRF","FCC","BRD"}),1.28,IF(OR(MID(A217,5,3)={"BIS","CRP","HRB","TUR","IND","HYG"}),1.38,1.31)))),2)</f>
        <v>32.74</v>
      </c>
      <c r="I217" s="27">
        <f>(Table1[[#This Row],[SALE PRICE]]-Table1[[#This Row],[COST PRICE]])/Table1[[#This Row],[SALE PRICE]]</f>
        <v>0.23671350030543686</v>
      </c>
      <c r="J217" s="27" t="str">
        <f>IF(Table1[[#This Row],[MARGIN]]&lt;25%, "REVIEW", "OK")</f>
        <v>REVIEW</v>
      </c>
    </row>
    <row r="218" spans="1:10" ht="15.6" x14ac:dyDescent="0.3">
      <c r="A218" s="18" t="s">
        <v>388</v>
      </c>
      <c r="B218" s="13" t="s">
        <v>389</v>
      </c>
      <c r="C218" s="13" t="s">
        <v>1429</v>
      </c>
      <c r="D218" s="11" t="s">
        <v>8</v>
      </c>
      <c r="E218" s="11" t="s">
        <v>8</v>
      </c>
      <c r="F218" s="13" t="s">
        <v>8</v>
      </c>
      <c r="G218" s="47">
        <v>21.99</v>
      </c>
      <c r="H218" s="47" cm="1">
        <f t="array" ref="H218">ROUND(G218*IF(OR(MID(A218,5,3)={"BFF","PRK","FPL","LMB","FFI","MET","RIC","FLR","SUG","OIL","DRK","JCE","FEG"}),1.21,IF(OR(MID(A218,5,3)={"FVG","FFR"}),1.33,IF(OR(MID(A218,5,3)={"FBT","FCH","FMK","FYG","MLK","ICE","FRV","FPO","FRF","FCC","BRD"}),1.28,IF(OR(MID(A218,5,3)={"BIS","CRP","HRB","TUR","IND","HYG"}),1.38,1.31)))),2)</f>
        <v>28.81</v>
      </c>
      <c r="I218" s="29">
        <f>(Table1[[#This Row],[SALE PRICE]]-Table1[[#This Row],[COST PRICE]])/Table1[[#This Row],[SALE PRICE]]</f>
        <v>0.23672335994446375</v>
      </c>
      <c r="J218" s="26" t="str">
        <f>IF(Table1[[#This Row],[MARGIN]]&lt;25%, "REVIEW", "OK")</f>
        <v>REVIEW</v>
      </c>
    </row>
    <row r="219" spans="1:10" ht="15.6" x14ac:dyDescent="0.3">
      <c r="A219" s="17" t="s">
        <v>390</v>
      </c>
      <c r="B219" s="12" t="s">
        <v>391</v>
      </c>
      <c r="C219" s="12" t="s">
        <v>1427</v>
      </c>
      <c r="D219" s="10" t="s">
        <v>8</v>
      </c>
      <c r="E219" s="10" t="s">
        <v>8</v>
      </c>
      <c r="F219" s="12" t="s">
        <v>8</v>
      </c>
      <c r="G219" s="46">
        <v>18.489999999999998</v>
      </c>
      <c r="H219" s="46" cm="1">
        <f t="array" ref="H219">ROUND(G219*IF(OR(MID(A219,5,3)={"BFF","PRK","FPL","LMB","FFI","MET","RIC","FLR","SUG","OIL","DRK","JCE","FEG"}),1.21,IF(OR(MID(A219,5,3)={"FVG","FFR"}),1.33,IF(OR(MID(A219,5,3)={"FBT","FCH","FMK","FYG","MLK","ICE","FRV","FPO","FRF","FCC","BRD"}),1.28,IF(OR(MID(A219,5,3)={"BIS","CRP","HRB","TUR","IND","HYG"}),1.38,1.31)))),2)</f>
        <v>24.22</v>
      </c>
      <c r="I219" s="27">
        <f>(Table1[[#This Row],[SALE PRICE]]-Table1[[#This Row],[COST PRICE]])/Table1[[#This Row],[SALE PRICE]]</f>
        <v>0.23658133773740714</v>
      </c>
      <c r="J219" s="27" t="str">
        <f>IF(Table1[[#This Row],[MARGIN]]&lt;25%, "REVIEW", "OK")</f>
        <v>REVIEW</v>
      </c>
    </row>
    <row r="220" spans="1:10" ht="15.6" x14ac:dyDescent="0.3">
      <c r="A220" s="18" t="s">
        <v>392</v>
      </c>
      <c r="B220" s="13" t="s">
        <v>393</v>
      </c>
      <c r="C220" s="13" t="s">
        <v>1427</v>
      </c>
      <c r="D220" s="11" t="s">
        <v>8</v>
      </c>
      <c r="E220" s="11" t="s">
        <v>8</v>
      </c>
      <c r="F220" s="13" t="s">
        <v>8</v>
      </c>
      <c r="G220" s="47">
        <v>12.49</v>
      </c>
      <c r="H220" s="47" cm="1">
        <f t="array" ref="H220">ROUND(G220*IF(OR(MID(A220,5,3)={"BFF","PRK","FPL","LMB","FFI","MET","RIC","FLR","SUG","OIL","DRK","JCE","FEG"}),1.21,IF(OR(MID(A220,5,3)={"FVG","FFR"}),1.33,IF(OR(MID(A220,5,3)={"FBT","FCH","FMK","FYG","MLK","ICE","FRV","FPO","FRF","FCC","BRD"}),1.28,IF(OR(MID(A220,5,3)={"BIS","CRP","HRB","TUR","IND","HYG"}),1.38,1.31)))),2)</f>
        <v>16.36</v>
      </c>
      <c r="I220" s="29">
        <f>(Table1[[#This Row],[SALE PRICE]]-Table1[[#This Row],[COST PRICE]])/Table1[[#This Row],[SALE PRICE]]</f>
        <v>0.23655256723716378</v>
      </c>
      <c r="J220" s="26" t="str">
        <f>IF(Table1[[#This Row],[MARGIN]]&lt;25%, "REVIEW", "OK")</f>
        <v>REVIEW</v>
      </c>
    </row>
    <row r="221" spans="1:10" ht="15.6" x14ac:dyDescent="0.3">
      <c r="A221" s="17" t="s">
        <v>394</v>
      </c>
      <c r="B221" s="12" t="s">
        <v>395</v>
      </c>
      <c r="C221" s="12" t="s">
        <v>1430</v>
      </c>
      <c r="D221" s="10" t="s">
        <v>8</v>
      </c>
      <c r="E221" s="10" t="s">
        <v>8</v>
      </c>
      <c r="F221" s="12" t="s">
        <v>8</v>
      </c>
      <c r="G221" s="46">
        <v>4.49</v>
      </c>
      <c r="H221" s="46" cm="1">
        <f t="array" ref="H221">ROUND(G221*IF(OR(MID(A221,5,3)={"BFF","PRK","FPL","LMB","FFI","MET","RIC","FLR","SUG","OIL","DRK","JCE","FEG"}),1.21,IF(OR(MID(A221,5,3)={"FVG","FFR"}),1.33,IF(OR(MID(A221,5,3)={"FBT","FCH","FMK","FYG","MLK","ICE","FRV","FPO","FRF","FCC","BRD"}),1.28,IF(OR(MID(A221,5,3)={"BIS","CRP","HRB","TUR","IND","HYG"}),1.38,1.31)))),2)</f>
        <v>5.88</v>
      </c>
      <c r="I221" s="27">
        <f>(Table1[[#This Row],[SALE PRICE]]-Table1[[#This Row],[COST PRICE]])/Table1[[#This Row],[SALE PRICE]]</f>
        <v>0.23639455782312921</v>
      </c>
      <c r="J221" s="27" t="str">
        <f>IF(Table1[[#This Row],[MARGIN]]&lt;25%, "REVIEW", "OK")</f>
        <v>REVIEW</v>
      </c>
    </row>
    <row r="222" spans="1:10" s="1" customFormat="1" ht="15.6" x14ac:dyDescent="0.3">
      <c r="A222" s="16" t="s">
        <v>396</v>
      </c>
      <c r="B222" s="2" t="s">
        <v>8</v>
      </c>
      <c r="C222" s="2"/>
      <c r="D222" s="2" t="s">
        <v>8</v>
      </c>
      <c r="E222" s="2" t="s">
        <v>8</v>
      </c>
      <c r="F222" s="2" t="s">
        <v>8</v>
      </c>
      <c r="G222" s="48" t="s">
        <v>8</v>
      </c>
      <c r="H222" s="48" t="e" cm="1">
        <f t="array" ref="H222">ROUND(G222*IF(OR(MID(A222,5,3)={"BFF","PRK","FPL","LMB","FFI","MET","RIC","FLR","SUG","OIL","DRK","JCE","FEG"}),1.21,IF(OR(MID(A222,5,3)={"FVG","FFR"}),1.33,IF(OR(MID(A222,5,3)={"FBT","FCH","FMK","FYG","MLK","ICE","FRV","FPO","FRF","FCC","BRD"}),1.28,IF(OR(MID(A222,5,3)={"BIS","CRP","HRB","TUR","IND","HYG"}),1.38,1.31)))),2)</f>
        <v>#VALUE!</v>
      </c>
      <c r="I222" s="19"/>
      <c r="J222" s="19"/>
    </row>
    <row r="223" spans="1:10" ht="15.6" x14ac:dyDescent="0.3">
      <c r="A223" s="18" t="s">
        <v>397</v>
      </c>
      <c r="B223" s="13" t="s">
        <v>398</v>
      </c>
      <c r="C223" s="13" t="s">
        <v>1429</v>
      </c>
      <c r="D223" s="11" t="s">
        <v>8</v>
      </c>
      <c r="E223" s="11" t="s">
        <v>8</v>
      </c>
      <c r="F223" s="13" t="s">
        <v>8</v>
      </c>
      <c r="G223" s="47">
        <v>25.99</v>
      </c>
      <c r="H223" s="46" cm="1">
        <f t="array" ref="H223">ROUND(G223*IF(OR(MID(A223,5,3)={"BFF","PRK","FPL","LMB","FFI","MET","RIC","FLR","SUG","OIL","DRK","JCE","FEG"}),1.21,IF(OR(MID(A223,5,3)={"FVG","FFR"}),1.33,IF(OR(MID(A223,5,3)={"FBT","FCH","FMK","FYG","MLK","ICE","FRV","FPO","FRF","FCC","BRD"}),1.28,IF(OR(MID(A223,5,3)={"BIS","CRP","HRB","TUR","IND","HYG"}),1.38,1.31)))),2)</f>
        <v>31.45</v>
      </c>
      <c r="I223" s="27">
        <f>(Table1[[#This Row],[SALE PRICE]]-Table1[[#This Row],[COST PRICE]])/Table1[[#This Row],[SALE PRICE]]</f>
        <v>0.17360890302066775</v>
      </c>
      <c r="J223" s="27" t="str">
        <f>IF(Table1[[#This Row],[MARGIN]]&lt;25%, "REVIEW", "OK")</f>
        <v>REVIEW</v>
      </c>
    </row>
    <row r="224" spans="1:10" ht="15.6" x14ac:dyDescent="0.3">
      <c r="A224" s="17" t="s">
        <v>399</v>
      </c>
      <c r="B224" s="12" t="s">
        <v>400</v>
      </c>
      <c r="C224" s="12" t="s">
        <v>1429</v>
      </c>
      <c r="D224" s="10" t="s">
        <v>8</v>
      </c>
      <c r="E224" s="10" t="s">
        <v>8</v>
      </c>
      <c r="F224" s="12" t="s">
        <v>8</v>
      </c>
      <c r="G224" s="46">
        <v>30.99</v>
      </c>
      <c r="H224" s="47" cm="1">
        <f t="array" ref="H224">ROUND(G224*IF(OR(MID(A224,5,3)={"BFF","PRK","FPL","LMB","FFI","MET","RIC","FLR","SUG","OIL","DRK","JCE","FEG"}),1.21,IF(OR(MID(A224,5,3)={"FVG","FFR"}),1.33,IF(OR(MID(A224,5,3)={"FBT","FCH","FMK","FYG","MLK","ICE","FRV","FPO","FRF","FCC","BRD"}),1.28,IF(OR(MID(A224,5,3)={"BIS","CRP","HRB","TUR","IND","HYG"}),1.38,1.31)))),2)</f>
        <v>37.5</v>
      </c>
      <c r="I224" s="29">
        <f>(Table1[[#This Row],[SALE PRICE]]-Table1[[#This Row],[COST PRICE]])/Table1[[#This Row],[SALE PRICE]]</f>
        <v>0.17360000000000003</v>
      </c>
      <c r="J224" s="26" t="str">
        <f>IF(Table1[[#This Row],[MARGIN]]&lt;25%, "REVIEW", "OK")</f>
        <v>REVIEW</v>
      </c>
    </row>
    <row r="225" spans="1:10" ht="15.6" x14ac:dyDescent="0.3">
      <c r="A225" s="18" t="s">
        <v>401</v>
      </c>
      <c r="B225" s="13" t="s">
        <v>402</v>
      </c>
      <c r="C225" s="13" t="s">
        <v>1429</v>
      </c>
      <c r="D225" s="11" t="s">
        <v>8</v>
      </c>
      <c r="E225" s="11" t="s">
        <v>8</v>
      </c>
      <c r="F225" s="13" t="s">
        <v>8</v>
      </c>
      <c r="G225" s="47">
        <v>12.99</v>
      </c>
      <c r="H225" s="46" cm="1">
        <f t="array" ref="H225">ROUND(G225*IF(OR(MID(A225,5,3)={"BFF","PRK","FPL","LMB","FFI","MET","RIC","FLR","SUG","OIL","DRK","JCE","FEG"}),1.21,IF(OR(MID(A225,5,3)={"FVG","FFR"}),1.33,IF(OR(MID(A225,5,3)={"FBT","FCH","FMK","FYG","MLK","ICE","FRV","FPO","FRF","FCC","BRD"}),1.28,IF(OR(MID(A225,5,3)={"BIS","CRP","HRB","TUR","IND","HYG"}),1.38,1.31)))),2)</f>
        <v>15.72</v>
      </c>
      <c r="I225" s="27">
        <f>(Table1[[#This Row],[SALE PRICE]]-Table1[[#This Row],[COST PRICE]])/Table1[[#This Row],[SALE PRICE]]</f>
        <v>0.17366412213740459</v>
      </c>
      <c r="J225" s="27" t="str">
        <f>IF(Table1[[#This Row],[MARGIN]]&lt;25%, "REVIEW", "OK")</f>
        <v>REVIEW</v>
      </c>
    </row>
    <row r="226" spans="1:10" ht="15.6" x14ac:dyDescent="0.3">
      <c r="A226" s="17" t="s">
        <v>403</v>
      </c>
      <c r="B226" s="12" t="s">
        <v>404</v>
      </c>
      <c r="C226" s="12" t="s">
        <v>1429</v>
      </c>
      <c r="D226" s="10" t="s">
        <v>8</v>
      </c>
      <c r="E226" s="10" t="s">
        <v>8</v>
      </c>
      <c r="F226" s="12" t="s">
        <v>8</v>
      </c>
      <c r="G226" s="46">
        <v>17.989999999999998</v>
      </c>
      <c r="H226" s="47" cm="1">
        <f t="array" ref="H226">ROUND(G226*IF(OR(MID(A226,5,3)={"BFF","PRK","FPL","LMB","FFI","MET","RIC","FLR","SUG","OIL","DRK","JCE","FEG"}),1.21,IF(OR(MID(A226,5,3)={"FVG","FFR"}),1.33,IF(OR(MID(A226,5,3)={"FBT","FCH","FMK","FYG","MLK","ICE","FRV","FPO","FRF","FCC","BRD"}),1.28,IF(OR(MID(A226,5,3)={"BIS","CRP","HRB","TUR","IND","HYG"}),1.38,1.31)))),2)</f>
        <v>21.77</v>
      </c>
      <c r="I226" s="29">
        <f>(Table1[[#This Row],[SALE PRICE]]-Table1[[#This Row],[COST PRICE]])/Table1[[#This Row],[SALE PRICE]]</f>
        <v>0.17363344051446952</v>
      </c>
      <c r="J226" s="26" t="str">
        <f>IF(Table1[[#This Row],[MARGIN]]&lt;25%, "REVIEW", "OK")</f>
        <v>REVIEW</v>
      </c>
    </row>
    <row r="227" spans="1:10" ht="15.6" x14ac:dyDescent="0.3">
      <c r="A227" s="18" t="s">
        <v>405</v>
      </c>
      <c r="B227" s="13" t="s">
        <v>406</v>
      </c>
      <c r="C227" s="13" t="s">
        <v>1429</v>
      </c>
      <c r="D227" s="11" t="s">
        <v>8</v>
      </c>
      <c r="E227" s="11" t="s">
        <v>8</v>
      </c>
      <c r="F227" s="13" t="s">
        <v>8</v>
      </c>
      <c r="G227" s="47">
        <v>13.99</v>
      </c>
      <c r="H227" s="46" cm="1">
        <f t="array" ref="H227">ROUND(G227*IF(OR(MID(A227,5,3)={"BFF","PRK","FPL","LMB","FFI","MET","RIC","FLR","SUG","OIL","DRK","JCE","FEG"}),1.21,IF(OR(MID(A227,5,3)={"FVG","FFR"}),1.33,IF(OR(MID(A227,5,3)={"FBT","FCH","FMK","FYG","MLK","ICE","FRV","FPO","FRF","FCC","BRD"}),1.28,IF(OR(MID(A227,5,3)={"BIS","CRP","HRB","TUR","IND","HYG"}),1.38,1.31)))),2)</f>
        <v>16.93</v>
      </c>
      <c r="I227" s="27">
        <f>(Table1[[#This Row],[SALE PRICE]]-Table1[[#This Row],[COST PRICE]])/Table1[[#This Row],[SALE PRICE]]</f>
        <v>0.17365623154164203</v>
      </c>
      <c r="J227" s="27" t="str">
        <f>IF(Table1[[#This Row],[MARGIN]]&lt;25%, "REVIEW", "OK")</f>
        <v>REVIEW</v>
      </c>
    </row>
    <row r="228" spans="1:10" ht="15.6" x14ac:dyDescent="0.3">
      <c r="A228" s="17" t="s">
        <v>407</v>
      </c>
      <c r="B228" s="12" t="s">
        <v>408</v>
      </c>
      <c r="C228" s="12" t="s">
        <v>1429</v>
      </c>
      <c r="D228" s="10" t="s">
        <v>8</v>
      </c>
      <c r="E228" s="10" t="s">
        <v>8</v>
      </c>
      <c r="F228" s="12" t="s">
        <v>8</v>
      </c>
      <c r="G228" s="46">
        <v>4.49</v>
      </c>
      <c r="H228" s="47" cm="1">
        <f t="array" ref="H228">ROUND(G228*IF(OR(MID(A228,5,3)={"BFF","PRK","FPL","LMB","FFI","MET","RIC","FLR","SUG","OIL","DRK","JCE","FEG"}),1.21,IF(OR(MID(A228,5,3)={"FVG","FFR"}),1.33,IF(OR(MID(A228,5,3)={"FBT","FCH","FMK","FYG","MLK","ICE","FRV","FPO","FRF","FCC","BRD"}),1.28,IF(OR(MID(A228,5,3)={"BIS","CRP","HRB","TUR","IND","HYG"}),1.38,1.31)))),2)</f>
        <v>5.43</v>
      </c>
      <c r="I228" s="29">
        <f>(Table1[[#This Row],[SALE PRICE]]-Table1[[#This Row],[COST PRICE]])/Table1[[#This Row],[SALE PRICE]]</f>
        <v>0.17311233885819513</v>
      </c>
      <c r="J228" s="26" t="str">
        <f>IF(Table1[[#This Row],[MARGIN]]&lt;25%, "REVIEW", "OK")</f>
        <v>REVIEW</v>
      </c>
    </row>
    <row r="229" spans="1:10" ht="15.6" x14ac:dyDescent="0.3">
      <c r="A229" s="18" t="s">
        <v>409</v>
      </c>
      <c r="B229" s="13" t="s">
        <v>410</v>
      </c>
      <c r="C229" s="13" t="s">
        <v>1429</v>
      </c>
      <c r="D229" s="11" t="s">
        <v>8</v>
      </c>
      <c r="E229" s="11" t="s">
        <v>8</v>
      </c>
      <c r="F229" s="13" t="s">
        <v>8</v>
      </c>
      <c r="G229" s="47">
        <v>5.49</v>
      </c>
      <c r="H229" s="46" cm="1">
        <f t="array" ref="H229">ROUND(G229*IF(OR(MID(A229,5,3)={"BFF","PRK","FPL","LMB","FFI","MET","RIC","FLR","SUG","OIL","DRK","JCE","FEG"}),1.21,IF(OR(MID(A229,5,3)={"FVG","FFR"}),1.33,IF(OR(MID(A229,5,3)={"FBT","FCH","FMK","FYG","MLK","ICE","FRV","FPO","FRF","FCC","BRD"}),1.28,IF(OR(MID(A229,5,3)={"BIS","CRP","HRB","TUR","IND","HYG"}),1.38,1.31)))),2)</f>
        <v>6.64</v>
      </c>
      <c r="I229" s="27">
        <f>(Table1[[#This Row],[SALE PRICE]]-Table1[[#This Row],[COST PRICE]])/Table1[[#This Row],[SALE PRICE]]</f>
        <v>0.17319277108433728</v>
      </c>
      <c r="J229" s="27" t="str">
        <f>IF(Table1[[#This Row],[MARGIN]]&lt;25%, "REVIEW", "OK")</f>
        <v>REVIEW</v>
      </c>
    </row>
    <row r="230" spans="1:10" ht="15.6" x14ac:dyDescent="0.3">
      <c r="A230" s="17" t="s">
        <v>411</v>
      </c>
      <c r="B230" s="12" t="s">
        <v>412</v>
      </c>
      <c r="C230" s="12" t="s">
        <v>1429</v>
      </c>
      <c r="D230" s="10" t="s">
        <v>8</v>
      </c>
      <c r="E230" s="10" t="s">
        <v>8</v>
      </c>
      <c r="F230" s="12" t="s">
        <v>8</v>
      </c>
      <c r="G230" s="46">
        <v>3.89</v>
      </c>
      <c r="H230" s="47" cm="1">
        <f t="array" ref="H230">ROUND(G230*IF(OR(MID(A230,5,3)={"BFF","PRK","FPL","LMB","FFI","MET","RIC","FLR","SUG","OIL","DRK","JCE","FEG"}),1.21,IF(OR(MID(A230,5,3)={"FVG","FFR"}),1.33,IF(OR(MID(A230,5,3)={"FBT","FCH","FMK","FYG","MLK","ICE","FRV","FPO","FRF","FCC","BRD"}),1.28,IF(OR(MID(A230,5,3)={"BIS","CRP","HRB","TUR","IND","HYG"}),1.38,1.31)))),2)</f>
        <v>4.71</v>
      </c>
      <c r="I230" s="29">
        <f>(Table1[[#This Row],[SALE PRICE]]-Table1[[#This Row],[COST PRICE]])/Table1[[#This Row],[SALE PRICE]]</f>
        <v>0.17409766454352438</v>
      </c>
      <c r="J230" s="26" t="str">
        <f>IF(Table1[[#This Row],[MARGIN]]&lt;25%, "REVIEW", "OK")</f>
        <v>REVIEW</v>
      </c>
    </row>
    <row r="231" spans="1:10" ht="15.6" x14ac:dyDescent="0.3">
      <c r="A231" s="18" t="s">
        <v>413</v>
      </c>
      <c r="B231" s="13" t="s">
        <v>414</v>
      </c>
      <c r="C231" s="13" t="s">
        <v>1429</v>
      </c>
      <c r="D231" s="11" t="s">
        <v>8</v>
      </c>
      <c r="E231" s="11" t="s">
        <v>8</v>
      </c>
      <c r="F231" s="13" t="s">
        <v>8</v>
      </c>
      <c r="G231" s="47">
        <v>3.79</v>
      </c>
      <c r="H231" s="46" cm="1">
        <f t="array" ref="H231">ROUND(G231*IF(OR(MID(A231,5,3)={"BFF","PRK","FPL","LMB","FFI","MET","RIC","FLR","SUG","OIL","DRK","JCE","FEG"}),1.21,IF(OR(MID(A231,5,3)={"FVG","FFR"}),1.33,IF(OR(MID(A231,5,3)={"FBT","FCH","FMK","FYG","MLK","ICE","FRV","FPO","FRF","FCC","BRD"}),1.28,IF(OR(MID(A231,5,3)={"BIS","CRP","HRB","TUR","IND","HYG"}),1.38,1.31)))),2)</f>
        <v>4.59</v>
      </c>
      <c r="I231" s="27">
        <f>(Table1[[#This Row],[SALE PRICE]]-Table1[[#This Row],[COST PRICE]])/Table1[[#This Row],[SALE PRICE]]</f>
        <v>0.17429193899782131</v>
      </c>
      <c r="J231" s="27" t="str">
        <f>IF(Table1[[#This Row],[MARGIN]]&lt;25%, "REVIEW", "OK")</f>
        <v>REVIEW</v>
      </c>
    </row>
    <row r="232" spans="1:10" ht="15.6" x14ac:dyDescent="0.3">
      <c r="A232" s="17" t="s">
        <v>415</v>
      </c>
      <c r="B232" s="12" t="s">
        <v>416</v>
      </c>
      <c r="C232" s="12" t="s">
        <v>1429</v>
      </c>
      <c r="D232" s="10" t="s">
        <v>8</v>
      </c>
      <c r="E232" s="10" t="s">
        <v>8</v>
      </c>
      <c r="F232" s="12" t="s">
        <v>8</v>
      </c>
      <c r="G232" s="46">
        <v>5.99</v>
      </c>
      <c r="H232" s="47" cm="1">
        <f t="array" ref="H232">ROUND(G232*IF(OR(MID(A232,5,3)={"BFF","PRK","FPL","LMB","FFI","MET","RIC","FLR","SUG","OIL","DRK","JCE","FEG"}),1.21,IF(OR(MID(A232,5,3)={"FVG","FFR"}),1.33,IF(OR(MID(A232,5,3)={"FBT","FCH","FMK","FYG","MLK","ICE","FRV","FPO","FRF","FCC","BRD"}),1.28,IF(OR(MID(A232,5,3)={"BIS","CRP","HRB","TUR","IND","HYG"}),1.38,1.31)))),2)</f>
        <v>7.25</v>
      </c>
      <c r="I232" s="29">
        <f>(Table1[[#This Row],[SALE PRICE]]-Table1[[#This Row],[COST PRICE]])/Table1[[#This Row],[SALE PRICE]]</f>
        <v>0.17379310344827584</v>
      </c>
      <c r="J232" s="26" t="str">
        <f>IF(Table1[[#This Row],[MARGIN]]&lt;25%, "REVIEW", "OK")</f>
        <v>REVIEW</v>
      </c>
    </row>
    <row r="233" spans="1:10" ht="15.6" x14ac:dyDescent="0.3">
      <c r="A233" s="18" t="s">
        <v>417</v>
      </c>
      <c r="B233" s="13" t="s">
        <v>418</v>
      </c>
      <c r="C233" s="13" t="s">
        <v>1429</v>
      </c>
      <c r="D233" s="11" t="s">
        <v>8</v>
      </c>
      <c r="E233" s="11" t="s">
        <v>8</v>
      </c>
      <c r="F233" s="13" t="s">
        <v>8</v>
      </c>
      <c r="G233" s="47">
        <v>8.69</v>
      </c>
      <c r="H233" s="46" cm="1">
        <f t="array" ref="H233">ROUND(G233*IF(OR(MID(A233,5,3)={"BFF","PRK","FPL","LMB","FFI","MET","RIC","FLR","SUG","OIL","DRK","JCE","FEG"}),1.21,IF(OR(MID(A233,5,3)={"FVG","FFR"}),1.33,IF(OR(MID(A233,5,3)={"FBT","FCH","FMK","FYG","MLK","ICE","FRV","FPO","FRF","FCC","BRD"}),1.28,IF(OR(MID(A233,5,3)={"BIS","CRP","HRB","TUR","IND","HYG"}),1.38,1.31)))),2)</f>
        <v>10.51</v>
      </c>
      <c r="I233" s="27">
        <f>(Table1[[#This Row],[SALE PRICE]]-Table1[[#This Row],[COST PRICE]])/Table1[[#This Row],[SALE PRICE]]</f>
        <v>0.17316841103710753</v>
      </c>
      <c r="J233" s="27" t="str">
        <f>IF(Table1[[#This Row],[MARGIN]]&lt;25%, "REVIEW", "OK")</f>
        <v>REVIEW</v>
      </c>
    </row>
    <row r="234" spans="1:10" ht="15.6" x14ac:dyDescent="0.3">
      <c r="A234" s="17" t="s">
        <v>419</v>
      </c>
      <c r="B234" s="12" t="s">
        <v>420</v>
      </c>
      <c r="C234" s="12" t="s">
        <v>1429</v>
      </c>
      <c r="D234" s="10" t="s">
        <v>8</v>
      </c>
      <c r="E234" s="10" t="s">
        <v>8</v>
      </c>
      <c r="F234" s="12" t="s">
        <v>8</v>
      </c>
      <c r="G234" s="46">
        <v>8.58</v>
      </c>
      <c r="H234" s="47" cm="1">
        <f t="array" ref="H234">ROUND(G234*IF(OR(MID(A234,5,3)={"BFF","PRK","FPL","LMB","FFI","MET","RIC","FLR","SUG","OIL","DRK","JCE","FEG"}),1.21,IF(OR(MID(A234,5,3)={"FVG","FFR"}),1.33,IF(OR(MID(A234,5,3)={"FBT","FCH","FMK","FYG","MLK","ICE","FRV","FPO","FRF","FCC","BRD"}),1.28,IF(OR(MID(A234,5,3)={"BIS","CRP","HRB","TUR","IND","HYG"}),1.38,1.31)))),2)</f>
        <v>10.38</v>
      </c>
      <c r="I234" s="29">
        <f>(Table1[[#This Row],[SALE PRICE]]-Table1[[#This Row],[COST PRICE]])/Table1[[#This Row],[SALE PRICE]]</f>
        <v>0.17341040462427751</v>
      </c>
      <c r="J234" s="26" t="str">
        <f>IF(Table1[[#This Row],[MARGIN]]&lt;25%, "REVIEW", "OK")</f>
        <v>REVIEW</v>
      </c>
    </row>
    <row r="235" spans="1:10" ht="15.6" x14ac:dyDescent="0.3">
      <c r="A235" s="18" t="s">
        <v>421</v>
      </c>
      <c r="B235" s="13" t="s">
        <v>422</v>
      </c>
      <c r="C235" s="13" t="s">
        <v>1429</v>
      </c>
      <c r="D235" s="11"/>
      <c r="E235" s="11" t="s">
        <v>8</v>
      </c>
      <c r="F235" s="13" t="s">
        <v>8</v>
      </c>
      <c r="G235" s="47">
        <v>19.989999999999998</v>
      </c>
      <c r="H235" s="46" cm="1">
        <f t="array" ref="H235">ROUND(G235*IF(OR(MID(A235,5,3)={"BFF","PRK","FPL","LMB","FFI","MET","RIC","FLR","SUG","OIL","DRK","JCE","FEG"}),1.21,IF(OR(MID(A235,5,3)={"FVG","FFR"}),1.33,IF(OR(MID(A235,5,3)={"FBT","FCH","FMK","FYG","MLK","ICE","FRV","FPO","FRF","FCC","BRD"}),1.28,IF(OR(MID(A235,5,3)={"BIS","CRP","HRB","TUR","IND","HYG"}),1.38,1.31)))),2)</f>
        <v>24.19</v>
      </c>
      <c r="I235" s="27">
        <f>(Table1[[#This Row],[SALE PRICE]]-Table1[[#This Row],[COST PRICE]])/Table1[[#This Row],[SALE PRICE]]</f>
        <v>0.17362546506821011</v>
      </c>
      <c r="J235" s="27" t="str">
        <f>IF(Table1[[#This Row],[MARGIN]]&lt;25%, "REVIEW", "OK")</f>
        <v>REVIEW</v>
      </c>
    </row>
    <row r="236" spans="1:10" ht="15.6" x14ac:dyDescent="0.3">
      <c r="A236" s="18" t="s">
        <v>1082</v>
      </c>
      <c r="B236" s="13" t="s">
        <v>1079</v>
      </c>
      <c r="C236" s="12" t="s">
        <v>1429</v>
      </c>
      <c r="D236" s="11" t="s">
        <v>1171</v>
      </c>
      <c r="E236" s="11"/>
      <c r="F236" s="13"/>
      <c r="G236" s="47">
        <v>8.49</v>
      </c>
      <c r="H236" s="47" cm="1">
        <f t="array" ref="H236">ROUND(G236*IF(OR(MID(A236,5,3)={"BFF","PRK","FPL","LMB","FFI","MET","RIC","FLR","SUG","OIL","DRK","JCE","FEG"}),1.21,IF(OR(MID(A236,5,3)={"FVG","FFR"}),1.33,IF(OR(MID(A236,5,3)={"FBT","FCH","FMK","FYG","MLK","ICE","FRV","FPO","FRF","FCC","BRD"}),1.28,IF(OR(MID(A236,5,3)={"BIS","CRP","HRB","TUR","IND","HYG"}),1.38,1.31)))),2)</f>
        <v>10.27</v>
      </c>
      <c r="I236" s="29">
        <f>(Table1[[#This Row],[SALE PRICE]]-Table1[[#This Row],[COST PRICE]])/Table1[[#This Row],[SALE PRICE]]</f>
        <v>0.17332035053554035</v>
      </c>
      <c r="J236" s="26" t="str">
        <f>IF(Table1[[#This Row],[MARGIN]]&lt;25%, "REVIEW", "OK")</f>
        <v>REVIEW</v>
      </c>
    </row>
    <row r="237" spans="1:10" ht="15.6" x14ac:dyDescent="0.3">
      <c r="A237" s="18" t="s">
        <v>1083</v>
      </c>
      <c r="B237" s="13" t="s">
        <v>1080</v>
      </c>
      <c r="C237" s="13" t="s">
        <v>1429</v>
      </c>
      <c r="D237" s="11" t="s">
        <v>1171</v>
      </c>
      <c r="E237" s="11"/>
      <c r="F237" s="13"/>
      <c r="G237" s="47">
        <v>8.49</v>
      </c>
      <c r="H237" s="46" cm="1">
        <f t="array" ref="H237">ROUND(G237*IF(OR(MID(A237,5,3)={"BFF","PRK","FPL","LMB","FFI","MET","RIC","FLR","SUG","OIL","DRK","JCE","FEG"}),1.21,IF(OR(MID(A237,5,3)={"FVG","FFR"}),1.33,IF(OR(MID(A237,5,3)={"FBT","FCH","FMK","FYG","MLK","ICE","FRV","FPO","FRF","FCC","BRD"}),1.28,IF(OR(MID(A237,5,3)={"BIS","CRP","HRB","TUR","IND","HYG"}),1.38,1.31)))),2)</f>
        <v>10.27</v>
      </c>
      <c r="I237" s="27">
        <f>(Table1[[#This Row],[SALE PRICE]]-Table1[[#This Row],[COST PRICE]])/Table1[[#This Row],[SALE PRICE]]</f>
        <v>0.17332035053554035</v>
      </c>
      <c r="J237" s="27" t="str">
        <f>IF(Table1[[#This Row],[MARGIN]]&lt;25%, "REVIEW", "OK")</f>
        <v>REVIEW</v>
      </c>
    </row>
    <row r="238" spans="1:10" ht="15.6" x14ac:dyDescent="0.3">
      <c r="A238" s="18" t="s">
        <v>1084</v>
      </c>
      <c r="B238" s="13" t="s">
        <v>1081</v>
      </c>
      <c r="C238" s="12" t="s">
        <v>1429</v>
      </c>
      <c r="D238" s="11"/>
      <c r="E238" s="11"/>
      <c r="F238" s="13"/>
      <c r="G238" s="47">
        <v>3.59</v>
      </c>
      <c r="H238" s="47" cm="1">
        <f t="array" ref="H238">ROUND(G238*IF(OR(MID(A238,5,3)={"BFF","PRK","FPL","LMB","FFI","MET","RIC","FLR","SUG","OIL","DRK","JCE","FEG"}),1.21,IF(OR(MID(A238,5,3)={"FVG","FFR"}),1.33,IF(OR(MID(A238,5,3)={"FBT","FCH","FMK","FYG","MLK","ICE","FRV","FPO","FRF","FCC","BRD"}),1.28,IF(OR(MID(A238,5,3)={"BIS","CRP","HRB","TUR","IND","HYG"}),1.38,1.31)))),2)</f>
        <v>4.34</v>
      </c>
      <c r="I238" s="29">
        <f>(Table1[[#This Row],[SALE PRICE]]-Table1[[#This Row],[COST PRICE]])/Table1[[#This Row],[SALE PRICE]]</f>
        <v>0.1728110599078341</v>
      </c>
      <c r="J238" s="26" t="str">
        <f>IF(Table1[[#This Row],[MARGIN]]&lt;25%, "REVIEW", "OK")</f>
        <v>REVIEW</v>
      </c>
    </row>
    <row r="239" spans="1:10" ht="15.6" x14ac:dyDescent="0.3">
      <c r="A239" s="18" t="s">
        <v>1890</v>
      </c>
      <c r="B239" s="13" t="s">
        <v>1891</v>
      </c>
      <c r="C239" s="13" t="s">
        <v>1429</v>
      </c>
      <c r="D239" s="11"/>
      <c r="E239" s="11"/>
      <c r="F239" s="13"/>
      <c r="G239" s="47">
        <v>1.19</v>
      </c>
      <c r="H239" s="46" cm="1">
        <f t="array" ref="H239">ROUND(G239*IF(OR(MID(A239,5,3)={"BFF","PRK","FPL","LMB","FFI","MET","RIC","FLR","SUG","OIL","DRK","JCE","FEG"}),1.21,IF(OR(MID(A239,5,3)={"FVG","FFR"}),1.33,IF(OR(MID(A239,5,3)={"FBT","FCH","FMK","FYG","MLK","ICE","FRV","FPO","FRF","FCC","BRD"}),1.28,IF(OR(MID(A239,5,3)={"BIS","CRP","HRB","TUR","IND","HYG"}),1.38,1.31)))),2)</f>
        <v>1.44</v>
      </c>
      <c r="I239" s="27">
        <f>(Table1[[#This Row],[SALE PRICE]]-Table1[[#This Row],[COST PRICE]])/Table1[[#This Row],[SALE PRICE]]</f>
        <v>0.1736111111111111</v>
      </c>
      <c r="J239" s="27" t="str">
        <f>IF(Table1[[#This Row],[MARGIN]]&lt;25%, "REVIEW", "OK")</f>
        <v>REVIEW</v>
      </c>
    </row>
    <row r="240" spans="1:10" s="1" customFormat="1" ht="15.6" x14ac:dyDescent="0.3">
      <c r="A240" s="16" t="s">
        <v>423</v>
      </c>
      <c r="B240" s="2" t="s">
        <v>8</v>
      </c>
      <c r="C240" s="2"/>
      <c r="D240" s="2" t="s">
        <v>8</v>
      </c>
      <c r="E240" s="2" t="s">
        <v>8</v>
      </c>
      <c r="F240" s="2" t="s">
        <v>8</v>
      </c>
      <c r="G240" s="48" t="s">
        <v>8</v>
      </c>
      <c r="H240" s="48" t="e" cm="1">
        <f t="array" ref="H240">ROUND(G240*IF(OR(MID(A240,5,3)={"BFF","PRK","FPL","LMB","FFI","MET","RIC","FLR","SUG","OIL","DRK","JCE","FEG"}),1.21,IF(OR(MID(A240,5,3)={"FVG","FFR"}),1.33,IF(OR(MID(A240,5,3)={"FBT","FCH","FMK","FYG","MLK","ICE","FRV","FPO","FRF","FCC","BRD"}),1.28,IF(OR(MID(A240,5,3)={"BIS","CRP","HRB","TUR","IND","HYG"}),1.38,1.31)))),2)</f>
        <v>#VALUE!</v>
      </c>
      <c r="I240" s="19"/>
      <c r="J240" s="19"/>
    </row>
    <row r="241" spans="1:10" ht="15.6" x14ac:dyDescent="0.3">
      <c r="A241" s="17" t="s">
        <v>424</v>
      </c>
      <c r="B241" s="12" t="s">
        <v>425</v>
      </c>
      <c r="C241" s="12" t="s">
        <v>1429</v>
      </c>
      <c r="D241" s="10" t="s">
        <v>8</v>
      </c>
      <c r="E241" s="10" t="s">
        <v>8</v>
      </c>
      <c r="F241" s="12" t="s">
        <v>8</v>
      </c>
      <c r="G241" s="46">
        <v>10.29</v>
      </c>
      <c r="H241" s="46" cm="1">
        <f t="array" ref="H241">ROUND(G241*IF(OR(MID(A241,5,3)={"BFF","PRK","FPL","LMB","FFI","MET","RIC","FLR","SUG","OIL","DRK","JCE","FEG"}),1.21,IF(OR(MID(A241,5,3)={"FVG","FFR"}),1.33,IF(OR(MID(A241,5,3)={"FBT","FCH","FMK","FYG","MLK","ICE","FRV","FPO","FRF","FCC","BRD"}),1.28,IF(OR(MID(A241,5,3)={"BIS","CRP","HRB","TUR","IND","HYG"}),1.38,1.31)))),2)</f>
        <v>12.45</v>
      </c>
      <c r="I241" s="27">
        <f>(Table1[[#This Row],[SALE PRICE]]-Table1[[#This Row],[COST PRICE]])/Table1[[#This Row],[SALE PRICE]]</f>
        <v>0.17349397590361448</v>
      </c>
      <c r="J241" s="27" t="str">
        <f>IF(Table1[[#This Row],[MARGIN]]&lt;25%, "REVIEW", "OK")</f>
        <v>REVIEW</v>
      </c>
    </row>
    <row r="242" spans="1:10" ht="15.6" x14ac:dyDescent="0.3">
      <c r="A242" s="18" t="s">
        <v>426</v>
      </c>
      <c r="B242" s="13" t="s">
        <v>427</v>
      </c>
      <c r="C242" s="13" t="s">
        <v>1429</v>
      </c>
      <c r="D242" s="11" t="s">
        <v>8</v>
      </c>
      <c r="E242" s="11" t="s">
        <v>8</v>
      </c>
      <c r="F242" s="13" t="s">
        <v>8</v>
      </c>
      <c r="G242" s="47">
        <v>13.99</v>
      </c>
      <c r="H242" s="47" cm="1">
        <f t="array" ref="H242">ROUND(G242*IF(OR(MID(A242,5,3)={"BFF","PRK","FPL","LMB","FFI","MET","RIC","FLR","SUG","OIL","DRK","JCE","FEG"}),1.21,IF(OR(MID(A242,5,3)={"FVG","FFR"}),1.33,IF(OR(MID(A242,5,3)={"FBT","FCH","FMK","FYG","MLK","ICE","FRV","FPO","FRF","FCC","BRD"}),1.28,IF(OR(MID(A242,5,3)={"BIS","CRP","HRB","TUR","IND","HYG"}),1.38,1.31)))),2)</f>
        <v>16.93</v>
      </c>
      <c r="I242" s="29">
        <f>(Table1[[#This Row],[SALE PRICE]]-Table1[[#This Row],[COST PRICE]])/Table1[[#This Row],[SALE PRICE]]</f>
        <v>0.17365623154164203</v>
      </c>
      <c r="J242" s="26" t="str">
        <f>IF(Table1[[#This Row],[MARGIN]]&lt;25%, "REVIEW", "OK")</f>
        <v>REVIEW</v>
      </c>
    </row>
    <row r="243" spans="1:10" ht="15.6" x14ac:dyDescent="0.3">
      <c r="A243" s="17" t="s">
        <v>428</v>
      </c>
      <c r="B243" s="12" t="s">
        <v>429</v>
      </c>
      <c r="C243" s="12" t="s">
        <v>1429</v>
      </c>
      <c r="D243" s="10" t="s">
        <v>8</v>
      </c>
      <c r="E243" s="10" t="s">
        <v>8</v>
      </c>
      <c r="F243" s="12" t="s">
        <v>8</v>
      </c>
      <c r="G243" s="46">
        <v>13.99</v>
      </c>
      <c r="H243" s="46" cm="1">
        <f t="array" ref="H243">ROUND(G243*IF(OR(MID(A243,5,3)={"BFF","PRK","FPL","LMB","FFI","MET","RIC","FLR","SUG","OIL","DRK","JCE","FEG"}),1.21,IF(OR(MID(A243,5,3)={"FVG","FFR"}),1.33,IF(OR(MID(A243,5,3)={"FBT","FCH","FMK","FYG","MLK","ICE","FRV","FPO","FRF","FCC","BRD"}),1.28,IF(OR(MID(A243,5,3)={"BIS","CRP","HRB","TUR","IND","HYG"}),1.38,1.31)))),2)</f>
        <v>16.93</v>
      </c>
      <c r="I243" s="27">
        <f>(Table1[[#This Row],[SALE PRICE]]-Table1[[#This Row],[COST PRICE]])/Table1[[#This Row],[SALE PRICE]]</f>
        <v>0.17365623154164203</v>
      </c>
      <c r="J243" s="27" t="str">
        <f>IF(Table1[[#This Row],[MARGIN]]&lt;25%, "REVIEW", "OK")</f>
        <v>REVIEW</v>
      </c>
    </row>
    <row r="244" spans="1:10" ht="15.6" x14ac:dyDescent="0.3">
      <c r="A244" s="18" t="s">
        <v>430</v>
      </c>
      <c r="B244" s="13" t="s">
        <v>431</v>
      </c>
      <c r="C244" s="13" t="s">
        <v>1426</v>
      </c>
      <c r="D244" s="11" t="s">
        <v>8</v>
      </c>
      <c r="E244" s="11" t="s">
        <v>8</v>
      </c>
      <c r="F244" s="13" t="s">
        <v>8</v>
      </c>
      <c r="G244" s="47">
        <v>10.29</v>
      </c>
      <c r="H244" s="47" cm="1">
        <f t="array" ref="H244">ROUND(G244*IF(OR(MID(A244,5,3)={"BFF","PRK","FPL","LMB","FFI","MET","RIC","FLR","SUG","OIL","DRK","JCE","FEG"}),1.21,IF(OR(MID(A244,5,3)={"FVG","FFR"}),1.33,IF(OR(MID(A244,5,3)={"FBT","FCH","FMK","FYG","MLK","ICE","FRV","FPO","FRF","FCC","BRD"}),1.28,IF(OR(MID(A244,5,3)={"BIS","CRP","HRB","TUR","IND","HYG"}),1.38,1.31)))),2)</f>
        <v>12.45</v>
      </c>
      <c r="I244" s="29">
        <f>(Table1[[#This Row],[SALE PRICE]]-Table1[[#This Row],[COST PRICE]])/Table1[[#This Row],[SALE PRICE]]</f>
        <v>0.17349397590361448</v>
      </c>
      <c r="J244" s="26" t="str">
        <f>IF(Table1[[#This Row],[MARGIN]]&lt;25%, "REVIEW", "OK")</f>
        <v>REVIEW</v>
      </c>
    </row>
    <row r="245" spans="1:10" ht="15.6" x14ac:dyDescent="0.3">
      <c r="A245" s="17" t="s">
        <v>432</v>
      </c>
      <c r="B245" s="12" t="s">
        <v>433</v>
      </c>
      <c r="C245" s="12" t="s">
        <v>1429</v>
      </c>
      <c r="D245" s="10" t="s">
        <v>8</v>
      </c>
      <c r="E245" s="10" t="s">
        <v>8</v>
      </c>
      <c r="F245" s="12" t="s">
        <v>8</v>
      </c>
      <c r="G245" s="46">
        <v>23.99</v>
      </c>
      <c r="H245" s="46" cm="1">
        <f t="array" ref="H245">ROUND(G245*IF(OR(MID(A245,5,3)={"BFF","PRK","FPL","LMB","FFI","MET","RIC","FLR","SUG","OIL","DRK","JCE","FEG"}),1.21,IF(OR(MID(A245,5,3)={"FVG","FFR"}),1.33,IF(OR(MID(A245,5,3)={"FBT","FCH","FMK","FYG","MLK","ICE","FRV","FPO","FRF","FCC","BRD"}),1.28,IF(OR(MID(A245,5,3)={"BIS","CRP","HRB","TUR","IND","HYG"}),1.38,1.31)))),2)</f>
        <v>29.03</v>
      </c>
      <c r="I245" s="27">
        <f>(Table1[[#This Row],[SALE PRICE]]-Table1[[#This Row],[COST PRICE]])/Table1[[#This Row],[SALE PRICE]]</f>
        <v>0.17361350327247682</v>
      </c>
      <c r="J245" s="27" t="str">
        <f>IF(Table1[[#This Row],[MARGIN]]&lt;25%, "REVIEW", "OK")</f>
        <v>REVIEW</v>
      </c>
    </row>
    <row r="246" spans="1:10" ht="15.6" x14ac:dyDescent="0.3">
      <c r="A246" s="18" t="s">
        <v>434</v>
      </c>
      <c r="B246" s="13" t="s">
        <v>435</v>
      </c>
      <c r="C246" s="13" t="s">
        <v>1429</v>
      </c>
      <c r="D246" s="11" t="s">
        <v>8</v>
      </c>
      <c r="E246" s="11" t="s">
        <v>8</v>
      </c>
      <c r="F246" s="13" t="s">
        <v>8</v>
      </c>
      <c r="G246" s="47">
        <v>9.49</v>
      </c>
      <c r="H246" s="47" cm="1">
        <f t="array" ref="H246">ROUND(G246*IF(OR(MID(A246,5,3)={"BFF","PRK","FPL","LMB","FFI","MET","RIC","FLR","SUG","OIL","DRK","JCE","FEG"}),1.21,IF(OR(MID(A246,5,3)={"FVG","FFR"}),1.33,IF(OR(MID(A246,5,3)={"FBT","FCH","FMK","FYG","MLK","ICE","FRV","FPO","FRF","FCC","BRD"}),1.28,IF(OR(MID(A246,5,3)={"BIS","CRP","HRB","TUR","IND","HYG"}),1.38,1.31)))),2)</f>
        <v>11.48</v>
      </c>
      <c r="I246" s="29">
        <f>(Table1[[#This Row],[SALE PRICE]]-Table1[[#This Row],[COST PRICE]])/Table1[[#This Row],[SALE PRICE]]</f>
        <v>0.17334494773519166</v>
      </c>
      <c r="J246" s="26" t="str">
        <f>IF(Table1[[#This Row],[MARGIN]]&lt;25%, "REVIEW", "OK")</f>
        <v>REVIEW</v>
      </c>
    </row>
    <row r="247" spans="1:10" ht="15.6" x14ac:dyDescent="0.3">
      <c r="A247" s="17" t="s">
        <v>436</v>
      </c>
      <c r="B247" s="12" t="s">
        <v>437</v>
      </c>
      <c r="C247" s="12" t="s">
        <v>1429</v>
      </c>
      <c r="D247" s="10" t="s">
        <v>8</v>
      </c>
      <c r="E247" s="10" t="s">
        <v>8</v>
      </c>
      <c r="F247" s="12" t="s">
        <v>8</v>
      </c>
      <c r="G247" s="46">
        <v>9.49</v>
      </c>
      <c r="H247" s="46" cm="1">
        <f t="array" ref="H247">ROUND(G247*IF(OR(MID(A247,5,3)={"BFF","PRK","FPL","LMB","FFI","MET","RIC","FLR","SUG","OIL","DRK","JCE","FEG"}),1.21,IF(OR(MID(A247,5,3)={"FVG","FFR"}),1.33,IF(OR(MID(A247,5,3)={"FBT","FCH","FMK","FYG","MLK","ICE","FRV","FPO","FRF","FCC","BRD"}),1.28,IF(OR(MID(A247,5,3)={"BIS","CRP","HRB","TUR","IND","HYG"}),1.38,1.31)))),2)</f>
        <v>11.48</v>
      </c>
      <c r="I247" s="27">
        <f>(Table1[[#This Row],[SALE PRICE]]-Table1[[#This Row],[COST PRICE]])/Table1[[#This Row],[SALE PRICE]]</f>
        <v>0.17334494773519166</v>
      </c>
      <c r="J247" s="27" t="str">
        <f>IF(Table1[[#This Row],[MARGIN]]&lt;25%, "REVIEW", "OK")</f>
        <v>REVIEW</v>
      </c>
    </row>
    <row r="248" spans="1:10" ht="15.6" x14ac:dyDescent="0.3">
      <c r="A248" s="18" t="s">
        <v>438</v>
      </c>
      <c r="B248" s="13" t="s">
        <v>439</v>
      </c>
      <c r="C248" s="13" t="s">
        <v>1429</v>
      </c>
      <c r="D248" s="11" t="s">
        <v>8</v>
      </c>
      <c r="E248" s="11" t="s">
        <v>8</v>
      </c>
      <c r="F248" s="13" t="s">
        <v>8</v>
      </c>
      <c r="G248" s="47">
        <v>6.49</v>
      </c>
      <c r="H248" s="47" cm="1">
        <f t="array" ref="H248">ROUND(G248*IF(OR(MID(A248,5,3)={"BFF","PRK","FPL","LMB","FFI","MET","RIC","FLR","SUG","OIL","DRK","JCE","FEG"}),1.21,IF(OR(MID(A248,5,3)={"FVG","FFR"}),1.33,IF(OR(MID(A248,5,3)={"FBT","FCH","FMK","FYG","MLK","ICE","FRV","FPO","FRF","FCC","BRD"}),1.28,IF(OR(MID(A248,5,3)={"BIS","CRP","HRB","TUR","IND","HYG"}),1.38,1.31)))),2)</f>
        <v>7.85</v>
      </c>
      <c r="I248" s="29">
        <f>(Table1[[#This Row],[SALE PRICE]]-Table1[[#This Row],[COST PRICE]])/Table1[[#This Row],[SALE PRICE]]</f>
        <v>0.17324840764331204</v>
      </c>
      <c r="J248" s="26" t="str">
        <f>IF(Table1[[#This Row],[MARGIN]]&lt;25%, "REVIEW", "OK")</f>
        <v>REVIEW</v>
      </c>
    </row>
    <row r="249" spans="1:10" ht="15.6" x14ac:dyDescent="0.3">
      <c r="A249" s="17" t="s">
        <v>440</v>
      </c>
      <c r="B249" s="12" t="s">
        <v>441</v>
      </c>
      <c r="C249" s="12" t="s">
        <v>1429</v>
      </c>
      <c r="D249" s="10" t="s">
        <v>8</v>
      </c>
      <c r="E249" s="10" t="s">
        <v>8</v>
      </c>
      <c r="F249" s="12" t="s">
        <v>8</v>
      </c>
      <c r="G249" s="46">
        <v>9.99</v>
      </c>
      <c r="H249" s="46" cm="1">
        <f t="array" ref="H249">ROUND(G249*IF(OR(MID(A249,5,3)={"BFF","PRK","FPL","LMB","FFI","MET","RIC","FLR","SUG","OIL","DRK","JCE","FEG"}),1.21,IF(OR(MID(A249,5,3)={"FVG","FFR"}),1.33,IF(OR(MID(A249,5,3)={"FBT","FCH","FMK","FYG","MLK","ICE","FRV","FPO","FRF","FCC","BRD"}),1.28,IF(OR(MID(A249,5,3)={"BIS","CRP","HRB","TUR","IND","HYG"}),1.38,1.31)))),2)</f>
        <v>12.09</v>
      </c>
      <c r="I249" s="27">
        <f>(Table1[[#This Row],[SALE PRICE]]-Table1[[#This Row],[COST PRICE]])/Table1[[#This Row],[SALE PRICE]]</f>
        <v>0.17369727047146399</v>
      </c>
      <c r="J249" s="27" t="str">
        <f>IF(Table1[[#This Row],[MARGIN]]&lt;25%, "REVIEW", "OK")</f>
        <v>REVIEW</v>
      </c>
    </row>
    <row r="250" spans="1:10" ht="15.6" x14ac:dyDescent="0.3">
      <c r="A250" s="18" t="s">
        <v>442</v>
      </c>
      <c r="B250" s="13" t="s">
        <v>443</v>
      </c>
      <c r="C250" s="13" t="s">
        <v>1429</v>
      </c>
      <c r="D250" s="11" t="s">
        <v>8</v>
      </c>
      <c r="E250" s="11" t="s">
        <v>8</v>
      </c>
      <c r="F250" s="13" t="s">
        <v>8</v>
      </c>
      <c r="G250" s="47">
        <v>8.7899999999999991</v>
      </c>
      <c r="H250" s="47" cm="1">
        <f t="array" ref="H250">ROUND(G250*IF(OR(MID(A250,5,3)={"BFF","PRK","FPL","LMB","FFI","MET","RIC","FLR","SUG","OIL","DRK","JCE","FEG"}),1.21,IF(OR(MID(A250,5,3)={"FVG","FFR"}),1.33,IF(OR(MID(A250,5,3)={"FBT","FCH","FMK","FYG","MLK","ICE","FRV","FPO","FRF","FCC","BRD"}),1.28,IF(OR(MID(A250,5,3)={"BIS","CRP","HRB","TUR","IND","HYG"}),1.38,1.31)))),2)</f>
        <v>10.64</v>
      </c>
      <c r="I250" s="29">
        <f>(Table1[[#This Row],[SALE PRICE]]-Table1[[#This Row],[COST PRICE]])/Table1[[#This Row],[SALE PRICE]]</f>
        <v>0.17387218045112796</v>
      </c>
      <c r="J250" s="26" t="str">
        <f>IF(Table1[[#This Row],[MARGIN]]&lt;25%, "REVIEW", "OK")</f>
        <v>REVIEW</v>
      </c>
    </row>
    <row r="251" spans="1:10" s="1" customFormat="1" ht="15.6" x14ac:dyDescent="0.3">
      <c r="A251" s="16" t="s">
        <v>444</v>
      </c>
      <c r="B251" s="2" t="s">
        <v>8</v>
      </c>
      <c r="C251" s="2"/>
      <c r="D251" s="2" t="s">
        <v>8</v>
      </c>
      <c r="E251" s="2" t="s">
        <v>8</v>
      </c>
      <c r="F251" s="2" t="s">
        <v>8</v>
      </c>
      <c r="G251" s="48" t="s">
        <v>8</v>
      </c>
      <c r="H251" s="48" t="e" cm="1">
        <f t="array" ref="H251">ROUND(G251*IF(OR(MID(A251,5,3)={"BFF","PRK","FPL","LMB","FFI","MET","RIC","FLR","SUG","OIL","DRK","JCE","FEG"}),1.21,IF(OR(MID(A251,5,3)={"FVG","FFR"}),1.33,IF(OR(MID(A251,5,3)={"FBT","FCH","FMK","FYG","MLK","ICE","FRV","FPO","FRF","FCC","BRD"}),1.28,IF(OR(MID(A251,5,3)={"BIS","CRP","HRB","TUR","IND","HYG"}),1.38,1.31)))),2)</f>
        <v>#VALUE!</v>
      </c>
      <c r="I251" s="19"/>
      <c r="J251" s="19"/>
    </row>
    <row r="252" spans="1:10" ht="15.6" x14ac:dyDescent="0.3">
      <c r="A252" s="17" t="s">
        <v>445</v>
      </c>
      <c r="B252" s="12" t="s">
        <v>446</v>
      </c>
      <c r="C252" s="12" t="s">
        <v>1427</v>
      </c>
      <c r="D252" s="10" t="s">
        <v>8</v>
      </c>
      <c r="E252" s="10" t="s">
        <v>8</v>
      </c>
      <c r="F252" s="12" t="s">
        <v>8</v>
      </c>
      <c r="G252" s="46">
        <v>9.5500000000000007</v>
      </c>
      <c r="H252" s="47" cm="1">
        <f t="array" ref="H252">ROUND(G252*IF(OR(MID(A252,5,3)={"BFF","PRK","FPL","LMB","FFI","MET","RIC","FLR","SUG","OIL","DRK","JCE","FEG"}),1.21,IF(OR(MID(A252,5,3)={"FVG","FFR"}),1.33,IF(OR(MID(A252,5,3)={"FBT","FCH","FMK","FYG","MLK","ICE","FRV","FPO","FRF","FCC","BRD"}),1.28,IF(OR(MID(A252,5,3)={"BIS","CRP","HRB","TUR","IND","HYG"}),1.38,1.31)))),2)</f>
        <v>12.51</v>
      </c>
      <c r="I252" s="29">
        <f>(Table1[[#This Row],[SALE PRICE]]-Table1[[#This Row],[COST PRICE]])/Table1[[#This Row],[SALE PRICE]]</f>
        <v>0.23661071143085524</v>
      </c>
      <c r="J252" s="26" t="str">
        <f>IF(Table1[[#This Row],[MARGIN]]&lt;25%, "REVIEW", "OK")</f>
        <v>REVIEW</v>
      </c>
    </row>
    <row r="253" spans="1:10" ht="15.6" x14ac:dyDescent="0.3">
      <c r="A253" s="17" t="s">
        <v>447</v>
      </c>
      <c r="B253" s="12" t="s">
        <v>1435</v>
      </c>
      <c r="C253" s="12" t="s">
        <v>1427</v>
      </c>
      <c r="D253" s="10"/>
      <c r="E253" s="10"/>
      <c r="F253" s="12"/>
      <c r="G253" s="46">
        <v>17.690000000000001</v>
      </c>
      <c r="H253" s="46" cm="1">
        <f t="array" ref="H253">ROUND(G253*IF(OR(MID(A253,5,3)={"BFF","PRK","FPL","LMB","FFI","MET","RIC","FLR","SUG","OIL","DRK","JCE","FEG"}),1.21,IF(OR(MID(A253,5,3)={"FVG","FFR"}),1.33,IF(OR(MID(A253,5,3)={"FBT","FCH","FMK","FYG","MLK","ICE","FRV","FPO","FRF","FCC","BRD"}),1.28,IF(OR(MID(A253,5,3)={"BIS","CRP","HRB","TUR","IND","HYG"}),1.38,1.31)))),2)</f>
        <v>23.17</v>
      </c>
      <c r="I253" s="27">
        <f>(Table1[[#This Row],[SALE PRICE]]-Table1[[#This Row],[COST PRICE]])/Table1[[#This Row],[SALE PRICE]]</f>
        <v>0.23651273198100992</v>
      </c>
      <c r="J253" s="27" t="str">
        <f>IF(Table1[[#This Row],[MARGIN]]&lt;25%, "REVIEW", "OK")</f>
        <v>REVIEW</v>
      </c>
    </row>
    <row r="254" spans="1:10" ht="15.6" x14ac:dyDescent="0.3">
      <c r="A254" s="17" t="s">
        <v>449</v>
      </c>
      <c r="B254" s="12" t="s">
        <v>1436</v>
      </c>
      <c r="C254" s="12" t="s">
        <v>1431</v>
      </c>
      <c r="D254" s="10"/>
      <c r="E254" s="10"/>
      <c r="F254" s="12"/>
      <c r="G254" s="46">
        <v>6.99</v>
      </c>
      <c r="H254" s="47" cm="1">
        <f t="array" ref="H254">ROUND(G254*IF(OR(MID(A254,5,3)={"BFF","PRK","FPL","LMB","FFI","MET","RIC","FLR","SUG","OIL","DRK","JCE","FEG"}),1.21,IF(OR(MID(A254,5,3)={"FVG","FFR"}),1.33,IF(OR(MID(A254,5,3)={"FBT","FCH","FMK","FYG","MLK","ICE","FRV","FPO","FRF","FCC","BRD"}),1.28,IF(OR(MID(A254,5,3)={"BIS","CRP","HRB","TUR","IND","HYG"}),1.38,1.31)))),2)</f>
        <v>9.16</v>
      </c>
      <c r="I254" s="29">
        <f>(Table1[[#This Row],[SALE PRICE]]-Table1[[#This Row],[COST PRICE]])/Table1[[#This Row],[SALE PRICE]]</f>
        <v>0.23689956331877729</v>
      </c>
      <c r="J254" s="26" t="str">
        <f>IF(Table1[[#This Row],[MARGIN]]&lt;25%, "REVIEW", "OK")</f>
        <v>REVIEW</v>
      </c>
    </row>
    <row r="255" spans="1:10" ht="15.6" x14ac:dyDescent="0.3">
      <c r="A255" s="17" t="s">
        <v>451</v>
      </c>
      <c r="B255" s="13" t="s">
        <v>448</v>
      </c>
      <c r="C255" s="13" t="s">
        <v>1427</v>
      </c>
      <c r="D255" s="11" t="s">
        <v>8</v>
      </c>
      <c r="E255" s="11" t="s">
        <v>8</v>
      </c>
      <c r="F255" s="13" t="s">
        <v>8</v>
      </c>
      <c r="G255" s="47">
        <v>9.19</v>
      </c>
      <c r="H255" s="46" cm="1">
        <f t="array" ref="H255">ROUND(G255*IF(OR(MID(A255,5,3)={"BFF","PRK","FPL","LMB","FFI","MET","RIC","FLR","SUG","OIL","DRK","JCE","FEG"}),1.21,IF(OR(MID(A255,5,3)={"FVG","FFR"}),1.33,IF(OR(MID(A255,5,3)={"FBT","FCH","FMK","FYG","MLK","ICE","FRV","FPO","FRF","FCC","BRD"}),1.28,IF(OR(MID(A255,5,3)={"BIS","CRP","HRB","TUR","IND","HYG"}),1.38,1.31)))),2)</f>
        <v>12.04</v>
      </c>
      <c r="I255" s="27">
        <f>(Table1[[#This Row],[SALE PRICE]]-Table1[[#This Row],[COST PRICE]])/Table1[[#This Row],[SALE PRICE]]</f>
        <v>0.2367109634551495</v>
      </c>
      <c r="J255" s="27" t="str">
        <f>IF(Table1[[#This Row],[MARGIN]]&lt;25%, "REVIEW", "OK")</f>
        <v>REVIEW</v>
      </c>
    </row>
    <row r="256" spans="1:10" ht="15.6" x14ac:dyDescent="0.3">
      <c r="A256" s="17" t="s">
        <v>453</v>
      </c>
      <c r="B256" s="12" t="s">
        <v>450</v>
      </c>
      <c r="C256" s="12" t="s">
        <v>1427</v>
      </c>
      <c r="D256" s="10" t="s">
        <v>8</v>
      </c>
      <c r="E256" s="10" t="s">
        <v>8</v>
      </c>
      <c r="F256" s="12" t="s">
        <v>8</v>
      </c>
      <c r="G256" s="46">
        <v>13.39</v>
      </c>
      <c r="H256" s="47" cm="1">
        <f t="array" ref="H256">ROUND(G256*IF(OR(MID(A256,5,3)={"BFF","PRK","FPL","LMB","FFI","MET","RIC","FLR","SUG","OIL","DRK","JCE","FEG"}),1.21,IF(OR(MID(A256,5,3)={"FVG","FFR"}),1.33,IF(OR(MID(A256,5,3)={"FBT","FCH","FMK","FYG","MLK","ICE","FRV","FPO","FRF","FCC","BRD"}),1.28,IF(OR(MID(A256,5,3)={"BIS","CRP","HRB","TUR","IND","HYG"}),1.38,1.31)))),2)</f>
        <v>17.54</v>
      </c>
      <c r="I256" s="29">
        <f>(Table1[[#This Row],[SALE PRICE]]-Table1[[#This Row],[COST PRICE]])/Table1[[#This Row],[SALE PRICE]]</f>
        <v>0.23660205245153926</v>
      </c>
      <c r="J256" s="26" t="str">
        <f>IF(Table1[[#This Row],[MARGIN]]&lt;25%, "REVIEW", "OK")</f>
        <v>REVIEW</v>
      </c>
    </row>
    <row r="257" spans="1:10" ht="15.6" x14ac:dyDescent="0.3">
      <c r="A257" s="17" t="s">
        <v>455</v>
      </c>
      <c r="B257" s="13" t="s">
        <v>452</v>
      </c>
      <c r="C257" s="13" t="s">
        <v>1427</v>
      </c>
      <c r="D257" s="11" t="s">
        <v>8</v>
      </c>
      <c r="E257" s="11" t="s">
        <v>8</v>
      </c>
      <c r="F257" s="13" t="s">
        <v>8</v>
      </c>
      <c r="G257" s="47">
        <v>20.99</v>
      </c>
      <c r="H257" s="46" cm="1">
        <f t="array" ref="H257">ROUND(G257*IF(OR(MID(A257,5,3)={"BFF","PRK","FPL","LMB","FFI","MET","RIC","FLR","SUG","OIL","DRK","JCE","FEG"}),1.21,IF(OR(MID(A257,5,3)={"FVG","FFR"}),1.33,IF(OR(MID(A257,5,3)={"FBT","FCH","FMK","FYG","MLK","ICE","FRV","FPO","FRF","FCC","BRD"}),1.28,IF(OR(MID(A257,5,3)={"BIS","CRP","HRB","TUR","IND","HYG"}),1.38,1.31)))),2)</f>
        <v>27.5</v>
      </c>
      <c r="I257" s="27">
        <f>(Table1[[#This Row],[SALE PRICE]]-Table1[[#This Row],[COST PRICE]])/Table1[[#This Row],[SALE PRICE]]</f>
        <v>0.23672727272727279</v>
      </c>
      <c r="J257" s="27" t="str">
        <f>IF(Table1[[#This Row],[MARGIN]]&lt;25%, "REVIEW", "OK")</f>
        <v>REVIEW</v>
      </c>
    </row>
    <row r="258" spans="1:10" ht="15.6" x14ac:dyDescent="0.3">
      <c r="A258" s="17" t="s">
        <v>457</v>
      </c>
      <c r="B258" s="12" t="s">
        <v>454</v>
      </c>
      <c r="C258" s="12" t="s">
        <v>1431</v>
      </c>
      <c r="D258" s="10" t="s">
        <v>8</v>
      </c>
      <c r="E258" s="10" t="s">
        <v>8</v>
      </c>
      <c r="F258" s="12" t="s">
        <v>8</v>
      </c>
      <c r="G258" s="46">
        <v>4.49</v>
      </c>
      <c r="H258" s="47" cm="1">
        <f t="array" ref="H258">ROUND(G258*IF(OR(MID(A258,5,3)={"BFF","PRK","FPL","LMB","FFI","MET","RIC","FLR","SUG","OIL","DRK","JCE","FEG"}),1.21,IF(OR(MID(A258,5,3)={"FVG","FFR"}),1.33,IF(OR(MID(A258,5,3)={"FBT","FCH","FMK","FYG","MLK","ICE","FRV","FPO","FRF","FCC","BRD"}),1.28,IF(OR(MID(A258,5,3)={"BIS","CRP","HRB","TUR","IND","HYG"}),1.38,1.31)))),2)</f>
        <v>5.88</v>
      </c>
      <c r="I258" s="29">
        <f>(Table1[[#This Row],[SALE PRICE]]-Table1[[#This Row],[COST PRICE]])/Table1[[#This Row],[SALE PRICE]]</f>
        <v>0.23639455782312921</v>
      </c>
      <c r="J258" s="26" t="str">
        <f>IF(Table1[[#This Row],[MARGIN]]&lt;25%, "REVIEW", "OK")</f>
        <v>REVIEW</v>
      </c>
    </row>
    <row r="259" spans="1:10" ht="15.6" x14ac:dyDescent="0.3">
      <c r="A259" s="17" t="s">
        <v>459</v>
      </c>
      <c r="B259" s="13" t="s">
        <v>456</v>
      </c>
      <c r="C259" s="13" t="s">
        <v>1427</v>
      </c>
      <c r="D259" s="11" t="s">
        <v>8</v>
      </c>
      <c r="E259" s="11" t="s">
        <v>8</v>
      </c>
      <c r="F259" s="13" t="s">
        <v>8</v>
      </c>
      <c r="G259" s="47">
        <v>21.99</v>
      </c>
      <c r="H259" s="46" cm="1">
        <f t="array" ref="H259">ROUND(G259*IF(OR(MID(A259,5,3)={"BFF","PRK","FPL","LMB","FFI","MET","RIC","FLR","SUG","OIL","DRK","JCE","FEG"}),1.21,IF(OR(MID(A259,5,3)={"FVG","FFR"}),1.33,IF(OR(MID(A259,5,3)={"FBT","FCH","FMK","FYG","MLK","ICE","FRV","FPO","FRF","FCC","BRD"}),1.28,IF(OR(MID(A259,5,3)={"BIS","CRP","HRB","TUR","IND","HYG"}),1.38,1.31)))),2)</f>
        <v>28.81</v>
      </c>
      <c r="I259" s="27">
        <f>(Table1[[#This Row],[SALE PRICE]]-Table1[[#This Row],[COST PRICE]])/Table1[[#This Row],[SALE PRICE]]</f>
        <v>0.23672335994446375</v>
      </c>
      <c r="J259" s="27" t="str">
        <f>IF(Table1[[#This Row],[MARGIN]]&lt;25%, "REVIEW", "OK")</f>
        <v>REVIEW</v>
      </c>
    </row>
    <row r="260" spans="1:10" ht="15.6" x14ac:dyDescent="0.3">
      <c r="A260" s="17" t="s">
        <v>461</v>
      </c>
      <c r="B260" s="12" t="s">
        <v>458</v>
      </c>
      <c r="C260" s="12" t="s">
        <v>1427</v>
      </c>
      <c r="D260" s="10" t="s">
        <v>8</v>
      </c>
      <c r="E260" s="10" t="s">
        <v>8</v>
      </c>
      <c r="F260" s="12" t="s">
        <v>8</v>
      </c>
      <c r="G260" s="46">
        <v>23.49</v>
      </c>
      <c r="H260" s="47" cm="1">
        <f t="array" ref="H260">ROUND(G260*IF(OR(MID(A260,5,3)={"BFF","PRK","FPL","LMB","FFI","MET","RIC","FLR","SUG","OIL","DRK","JCE","FEG"}),1.21,IF(OR(MID(A260,5,3)={"FVG","FFR"}),1.33,IF(OR(MID(A260,5,3)={"FBT","FCH","FMK","FYG","MLK","ICE","FRV","FPO","FRF","FCC","BRD"}),1.28,IF(OR(MID(A260,5,3)={"BIS","CRP","HRB","TUR","IND","HYG"}),1.38,1.31)))),2)</f>
        <v>30.77</v>
      </c>
      <c r="I260" s="29">
        <f>(Table1[[#This Row],[SALE PRICE]]-Table1[[#This Row],[COST PRICE]])/Table1[[#This Row],[SALE PRICE]]</f>
        <v>0.23659408514787134</v>
      </c>
      <c r="J260" s="26" t="str">
        <f>IF(Table1[[#This Row],[MARGIN]]&lt;25%, "REVIEW", "OK")</f>
        <v>REVIEW</v>
      </c>
    </row>
    <row r="261" spans="1:10" ht="15.6" x14ac:dyDescent="0.3">
      <c r="A261" s="17" t="s">
        <v>463</v>
      </c>
      <c r="B261" s="13" t="s">
        <v>460</v>
      </c>
      <c r="C261" s="13" t="s">
        <v>1427</v>
      </c>
      <c r="D261" s="11" t="s">
        <v>8</v>
      </c>
      <c r="E261" s="11" t="s">
        <v>8</v>
      </c>
      <c r="F261" s="13" t="s">
        <v>8</v>
      </c>
      <c r="G261" s="47">
        <v>22.99</v>
      </c>
      <c r="H261" s="46" cm="1">
        <f t="array" ref="H261">ROUND(G261*IF(OR(MID(A261,5,3)={"BFF","PRK","FPL","LMB","FFI","MET","RIC","FLR","SUG","OIL","DRK","JCE","FEG"}),1.21,IF(OR(MID(A261,5,3)={"FVG","FFR"}),1.33,IF(OR(MID(A261,5,3)={"FBT","FCH","FMK","FYG","MLK","ICE","FRV","FPO","FRF","FCC","BRD"}),1.28,IF(OR(MID(A261,5,3)={"BIS","CRP","HRB","TUR","IND","HYG"}),1.38,1.31)))),2)</f>
        <v>30.12</v>
      </c>
      <c r="I261" s="27">
        <f>(Table1[[#This Row],[SALE PRICE]]-Table1[[#This Row],[COST PRICE]])/Table1[[#This Row],[SALE PRICE]]</f>
        <v>0.23671978751660033</v>
      </c>
      <c r="J261" s="27" t="str">
        <f>IF(Table1[[#This Row],[MARGIN]]&lt;25%, "REVIEW", "OK")</f>
        <v>REVIEW</v>
      </c>
    </row>
    <row r="262" spans="1:10" ht="15.6" x14ac:dyDescent="0.3">
      <c r="A262" s="17" t="s">
        <v>1437</v>
      </c>
      <c r="B262" s="12" t="s">
        <v>462</v>
      </c>
      <c r="C262" s="12" t="s">
        <v>1427</v>
      </c>
      <c r="D262" s="10" t="s">
        <v>8</v>
      </c>
      <c r="E262" s="10" t="s">
        <v>8</v>
      </c>
      <c r="F262" s="12" t="s">
        <v>8</v>
      </c>
      <c r="G262" s="46">
        <v>25.49</v>
      </c>
      <c r="H262" s="47" cm="1">
        <f t="array" ref="H262">ROUND(G262*IF(OR(MID(A262,5,3)={"BFF","PRK","FPL","LMB","FFI","MET","RIC","FLR","SUG","OIL","DRK","JCE","FEG"}),1.21,IF(OR(MID(A262,5,3)={"FVG","FFR"}),1.33,IF(OR(MID(A262,5,3)={"FBT","FCH","FMK","FYG","MLK","ICE","FRV","FPO","FRF","FCC","BRD"}),1.28,IF(OR(MID(A262,5,3)={"BIS","CRP","HRB","TUR","IND","HYG"}),1.38,1.31)))),2)</f>
        <v>33.39</v>
      </c>
      <c r="I262" s="29">
        <f>(Table1[[#This Row],[SALE PRICE]]-Table1[[#This Row],[COST PRICE]])/Table1[[#This Row],[SALE PRICE]]</f>
        <v>0.23659778376759516</v>
      </c>
      <c r="J262" s="26" t="str">
        <f>IF(Table1[[#This Row],[MARGIN]]&lt;25%, "REVIEW", "OK")</f>
        <v>REVIEW</v>
      </c>
    </row>
    <row r="263" spans="1:10" ht="15.6" x14ac:dyDescent="0.3">
      <c r="A263" s="17" t="s">
        <v>1438</v>
      </c>
      <c r="B263" s="13" t="s">
        <v>464</v>
      </c>
      <c r="C263" s="13" t="s">
        <v>1428</v>
      </c>
      <c r="D263" s="11" t="s">
        <v>8</v>
      </c>
      <c r="E263" s="11" t="s">
        <v>8</v>
      </c>
      <c r="F263" s="13" t="s">
        <v>8</v>
      </c>
      <c r="G263" s="47">
        <v>9.49</v>
      </c>
      <c r="H263" s="46" cm="1">
        <f t="array" ref="H263">ROUND(G263*IF(OR(MID(A263,5,3)={"BFF","PRK","FPL","LMB","FFI","MET","RIC","FLR","SUG","OIL","DRK","JCE","FEG"}),1.21,IF(OR(MID(A263,5,3)={"FVG","FFR"}),1.33,IF(OR(MID(A263,5,3)={"FBT","FCH","FMK","FYG","MLK","ICE","FRV","FPO","FRF","FCC","BRD"}),1.28,IF(OR(MID(A263,5,3)={"BIS","CRP","HRB","TUR","IND","HYG"}),1.38,1.31)))),2)</f>
        <v>12.43</v>
      </c>
      <c r="I263" s="27">
        <f>(Table1[[#This Row],[SALE PRICE]]-Table1[[#This Row],[COST PRICE]])/Table1[[#This Row],[SALE PRICE]]</f>
        <v>0.23652453740949314</v>
      </c>
      <c r="J263" s="27" t="str">
        <f>IF(Table1[[#This Row],[MARGIN]]&lt;25%, "REVIEW", "OK")</f>
        <v>REVIEW</v>
      </c>
    </row>
    <row r="264" spans="1:10" s="1" customFormat="1" ht="15.6" x14ac:dyDescent="0.3">
      <c r="A264" s="16" t="s">
        <v>465</v>
      </c>
      <c r="B264" s="2" t="s">
        <v>8</v>
      </c>
      <c r="C264" s="2"/>
      <c r="D264" s="2" t="s">
        <v>8</v>
      </c>
      <c r="E264" s="2" t="s">
        <v>8</v>
      </c>
      <c r="F264" s="2" t="s">
        <v>8</v>
      </c>
      <c r="G264" s="48" t="s">
        <v>8</v>
      </c>
      <c r="H264" s="48" t="e" cm="1">
        <f t="array" ref="H264">ROUND(G264*IF(OR(MID(A264,5,3)={"BFF","PRK","FPL","LMB","FFI","MET","RIC","FLR","SUG","OIL","DRK","JCE","FEG"}),1.21,IF(OR(MID(A264,5,3)={"FVG","FFR"}),1.33,IF(OR(MID(A264,5,3)={"FBT","FCH","FMK","FYG","MLK","ICE","FRV","FPO","FRF","FCC","BRD"}),1.28,IF(OR(MID(A264,5,3)={"BIS","CRP","HRB","TUR","IND","HYG"}),1.38,1.31)))),2)</f>
        <v>#VALUE!</v>
      </c>
      <c r="I264" s="19"/>
      <c r="J264" s="19"/>
    </row>
    <row r="265" spans="1:10" ht="15.6" x14ac:dyDescent="0.3">
      <c r="A265" s="17" t="s">
        <v>466</v>
      </c>
      <c r="B265" s="12" t="s">
        <v>467</v>
      </c>
      <c r="C265" s="12" t="s">
        <v>1427</v>
      </c>
      <c r="D265" s="10" t="s">
        <v>8</v>
      </c>
      <c r="E265" s="10" t="s">
        <v>8</v>
      </c>
      <c r="F265" s="12" t="s">
        <v>8</v>
      </c>
      <c r="G265" s="46">
        <v>16.989999999999998</v>
      </c>
      <c r="H265" s="46" cm="1">
        <f t="array" ref="H265">ROUND(G265*IF(OR(MID(A265,5,3)={"BFF","PRK","FPL","LMB","FFI","MET","RIC","FLR","SUG","OIL","DRK","JCE","FEG"}),1.21,IF(OR(MID(A265,5,3)={"FVG","FFR"}),1.33,IF(OR(MID(A265,5,3)={"FBT","FCH","FMK","FYG","MLK","ICE","FRV","FPO","FRF","FCC","BRD"}),1.28,IF(OR(MID(A265,5,3)={"BIS","CRP","HRB","TUR","IND","HYG"}),1.38,1.31)))),2)</f>
        <v>22.26</v>
      </c>
      <c r="I265" s="27">
        <f>(Table1[[#This Row],[SALE PRICE]]-Table1[[#This Row],[COST PRICE]])/Table1[[#This Row],[SALE PRICE]]</f>
        <v>0.23674752920035952</v>
      </c>
      <c r="J265" s="27" t="str">
        <f>IF(Table1[[#This Row],[MARGIN]]&lt;25%, "REVIEW", "OK")</f>
        <v>REVIEW</v>
      </c>
    </row>
    <row r="266" spans="1:10" ht="15.6" x14ac:dyDescent="0.3">
      <c r="A266" s="18" t="s">
        <v>468</v>
      </c>
      <c r="B266" s="13" t="s">
        <v>469</v>
      </c>
      <c r="C266" s="13" t="s">
        <v>1427</v>
      </c>
      <c r="D266" s="11" t="s">
        <v>8</v>
      </c>
      <c r="E266" s="11" t="s">
        <v>8</v>
      </c>
      <c r="F266" s="13" t="s">
        <v>8</v>
      </c>
      <c r="G266" s="47">
        <v>19.350000000000001</v>
      </c>
      <c r="H266" s="47" cm="1">
        <f t="array" ref="H266">ROUND(G266*IF(OR(MID(A266,5,3)={"BFF","PRK","FPL","LMB","FFI","MET","RIC","FLR","SUG","OIL","DRK","JCE","FEG"}),1.21,IF(OR(MID(A266,5,3)={"FVG","FFR"}),1.33,IF(OR(MID(A266,5,3)={"FBT","FCH","FMK","FYG","MLK","ICE","FRV","FPO","FRF","FCC","BRD"}),1.28,IF(OR(MID(A266,5,3)={"BIS","CRP","HRB","TUR","IND","HYG"}),1.38,1.31)))),2)</f>
        <v>25.35</v>
      </c>
      <c r="I266" s="29">
        <f>(Table1[[#This Row],[SALE PRICE]]-Table1[[#This Row],[COST PRICE]])/Table1[[#This Row],[SALE PRICE]]</f>
        <v>0.23668639053254437</v>
      </c>
      <c r="J266" s="26" t="str">
        <f>IF(Table1[[#This Row],[MARGIN]]&lt;25%, "REVIEW", "OK")</f>
        <v>REVIEW</v>
      </c>
    </row>
    <row r="267" spans="1:10" ht="15.6" x14ac:dyDescent="0.3">
      <c r="A267" s="17" t="s">
        <v>470</v>
      </c>
      <c r="B267" s="12" t="s">
        <v>471</v>
      </c>
      <c r="C267" s="12" t="s">
        <v>1427</v>
      </c>
      <c r="D267" s="10" t="s">
        <v>8</v>
      </c>
      <c r="E267" s="10" t="s">
        <v>8</v>
      </c>
      <c r="F267" s="12" t="s">
        <v>8</v>
      </c>
      <c r="G267" s="46">
        <v>16.55</v>
      </c>
      <c r="H267" s="46" cm="1">
        <f t="array" ref="H267">ROUND(G267*IF(OR(MID(A267,5,3)={"BFF","PRK","FPL","LMB","FFI","MET","RIC","FLR","SUG","OIL","DRK","JCE","FEG"}),1.21,IF(OR(MID(A267,5,3)={"FVG","FFR"}),1.33,IF(OR(MID(A267,5,3)={"FBT","FCH","FMK","FYG","MLK","ICE","FRV","FPO","FRF","FCC","BRD"}),1.28,IF(OR(MID(A267,5,3)={"BIS","CRP","HRB","TUR","IND","HYG"}),1.38,1.31)))),2)</f>
        <v>21.68</v>
      </c>
      <c r="I267" s="27">
        <f>(Table1[[#This Row],[SALE PRICE]]-Table1[[#This Row],[COST PRICE]])/Table1[[#This Row],[SALE PRICE]]</f>
        <v>0.23662361623616232</v>
      </c>
      <c r="J267" s="27" t="str">
        <f>IF(Table1[[#This Row],[MARGIN]]&lt;25%, "REVIEW", "OK")</f>
        <v>REVIEW</v>
      </c>
    </row>
    <row r="268" spans="1:10" ht="15.6" x14ac:dyDescent="0.3">
      <c r="A268" s="18" t="s">
        <v>472</v>
      </c>
      <c r="B268" s="13" t="s">
        <v>473</v>
      </c>
      <c r="C268" s="13" t="s">
        <v>1427</v>
      </c>
      <c r="D268" s="11" t="s">
        <v>8</v>
      </c>
      <c r="E268" s="11" t="s">
        <v>8</v>
      </c>
      <c r="F268" s="13" t="s">
        <v>8</v>
      </c>
      <c r="G268" s="47">
        <v>13.89</v>
      </c>
      <c r="H268" s="47" cm="1">
        <f t="array" ref="H268">ROUND(G268*IF(OR(MID(A268,5,3)={"BFF","PRK","FPL","LMB","FFI","MET","RIC","FLR","SUG","OIL","DRK","JCE","FEG"}),1.21,IF(OR(MID(A268,5,3)={"FVG","FFR"}),1.33,IF(OR(MID(A268,5,3)={"FBT","FCH","FMK","FYG","MLK","ICE","FRV","FPO","FRF","FCC","BRD"}),1.28,IF(OR(MID(A268,5,3)={"BIS","CRP","HRB","TUR","IND","HYG"}),1.38,1.31)))),2)</f>
        <v>18.2</v>
      </c>
      <c r="I268" s="29">
        <f>(Table1[[#This Row],[SALE PRICE]]-Table1[[#This Row],[COST PRICE]])/Table1[[#This Row],[SALE PRICE]]</f>
        <v>0.23681318681318675</v>
      </c>
      <c r="J268" s="26" t="str">
        <f>IF(Table1[[#This Row],[MARGIN]]&lt;25%, "REVIEW", "OK")</f>
        <v>REVIEW</v>
      </c>
    </row>
    <row r="269" spans="1:10" ht="15.6" x14ac:dyDescent="0.3">
      <c r="A269" s="17" t="s">
        <v>474</v>
      </c>
      <c r="B269" s="12" t="s">
        <v>475</v>
      </c>
      <c r="C269" s="12" t="s">
        <v>1427</v>
      </c>
      <c r="D269" s="10" t="s">
        <v>8</v>
      </c>
      <c r="E269" s="10" t="s">
        <v>8</v>
      </c>
      <c r="F269" s="12" t="s">
        <v>8</v>
      </c>
      <c r="G269" s="46">
        <v>22.09</v>
      </c>
      <c r="H269" s="46" cm="1">
        <f t="array" ref="H269">ROUND(G269*IF(OR(MID(A269,5,3)={"BFF","PRK","FPL","LMB","FFI","MET","RIC","FLR","SUG","OIL","DRK","JCE","FEG"}),1.21,IF(OR(MID(A269,5,3)={"FVG","FFR"}),1.33,IF(OR(MID(A269,5,3)={"FBT","FCH","FMK","FYG","MLK","ICE","FRV","FPO","FRF","FCC","BRD"}),1.28,IF(OR(MID(A269,5,3)={"BIS","CRP","HRB","TUR","IND","HYG"}),1.38,1.31)))),2)</f>
        <v>28.94</v>
      </c>
      <c r="I269" s="27">
        <f>(Table1[[#This Row],[SALE PRICE]]-Table1[[#This Row],[COST PRICE]])/Table1[[#This Row],[SALE PRICE]]</f>
        <v>0.2366966136834831</v>
      </c>
      <c r="J269" s="27" t="str">
        <f>IF(Table1[[#This Row],[MARGIN]]&lt;25%, "REVIEW", "OK")</f>
        <v>REVIEW</v>
      </c>
    </row>
    <row r="270" spans="1:10" ht="15.6" x14ac:dyDescent="0.3">
      <c r="A270" s="18" t="s">
        <v>476</v>
      </c>
      <c r="B270" s="13" t="s">
        <v>477</v>
      </c>
      <c r="C270" s="13" t="s">
        <v>1427</v>
      </c>
      <c r="D270" s="11" t="s">
        <v>8</v>
      </c>
      <c r="E270" s="11" t="s">
        <v>8</v>
      </c>
      <c r="F270" s="13" t="s">
        <v>8</v>
      </c>
      <c r="G270" s="47">
        <v>7.59</v>
      </c>
      <c r="H270" s="47" cm="1">
        <f t="array" ref="H270">ROUND(G270*IF(OR(MID(A270,5,3)={"BFF","PRK","FPL","LMB","FFI","MET","RIC","FLR","SUG","OIL","DRK","JCE","FEG"}),1.21,IF(OR(MID(A270,5,3)={"FVG","FFR"}),1.33,IF(OR(MID(A270,5,3)={"FBT","FCH","FMK","FYG","MLK","ICE","FRV","FPO","FRF","FCC","BRD"}),1.28,IF(OR(MID(A270,5,3)={"BIS","CRP","HRB","TUR","IND","HYG"}),1.38,1.31)))),2)</f>
        <v>9.94</v>
      </c>
      <c r="I270" s="29">
        <f>(Table1[[#This Row],[SALE PRICE]]-Table1[[#This Row],[COST PRICE]])/Table1[[#This Row],[SALE PRICE]]</f>
        <v>0.23641851106639836</v>
      </c>
      <c r="J270" s="26" t="str">
        <f>IF(Table1[[#This Row],[MARGIN]]&lt;25%, "REVIEW", "OK")</f>
        <v>REVIEW</v>
      </c>
    </row>
    <row r="271" spans="1:10" ht="15.6" x14ac:dyDescent="0.3">
      <c r="A271" s="17" t="s">
        <v>478</v>
      </c>
      <c r="B271" s="12" t="s">
        <v>479</v>
      </c>
      <c r="C271" s="12" t="s">
        <v>1427</v>
      </c>
      <c r="D271" s="10" t="s">
        <v>8</v>
      </c>
      <c r="E271" s="10" t="s">
        <v>8</v>
      </c>
      <c r="F271" s="12" t="s">
        <v>8</v>
      </c>
      <c r="G271" s="46">
        <v>15.69</v>
      </c>
      <c r="H271" s="46" cm="1">
        <f t="array" ref="H271">ROUND(G271*IF(OR(MID(A271,5,3)={"BFF","PRK","FPL","LMB","FFI","MET","RIC","FLR","SUG","OIL","DRK","JCE","FEG"}),1.21,IF(OR(MID(A271,5,3)={"FVG","FFR"}),1.33,IF(OR(MID(A271,5,3)={"FBT","FCH","FMK","FYG","MLK","ICE","FRV","FPO","FRF","FCC","BRD"}),1.28,IF(OR(MID(A271,5,3)={"BIS","CRP","HRB","TUR","IND","HYG"}),1.38,1.31)))),2)</f>
        <v>20.55</v>
      </c>
      <c r="I271" s="27">
        <f>(Table1[[#This Row],[SALE PRICE]]-Table1[[#This Row],[COST PRICE]])/Table1[[#This Row],[SALE PRICE]]</f>
        <v>0.23649635036496355</v>
      </c>
      <c r="J271" s="27" t="str">
        <f>IF(Table1[[#This Row],[MARGIN]]&lt;25%, "REVIEW", "OK")</f>
        <v>REVIEW</v>
      </c>
    </row>
    <row r="272" spans="1:10" ht="15.6" x14ac:dyDescent="0.3">
      <c r="A272" s="18" t="s">
        <v>480</v>
      </c>
      <c r="B272" s="13" t="s">
        <v>481</v>
      </c>
      <c r="C272" s="13" t="s">
        <v>1427</v>
      </c>
      <c r="D272" s="11" t="s">
        <v>8</v>
      </c>
      <c r="E272" s="11" t="s">
        <v>8</v>
      </c>
      <c r="F272" s="13" t="s">
        <v>8</v>
      </c>
      <c r="G272" s="47">
        <v>16.59</v>
      </c>
      <c r="H272" s="47" cm="1">
        <f t="array" ref="H272">ROUND(G272*IF(OR(MID(A272,5,3)={"BFF","PRK","FPL","LMB","FFI","MET","RIC","FLR","SUG","OIL","DRK","JCE","FEG"}),1.21,IF(OR(MID(A272,5,3)={"FVG","FFR"}),1.33,IF(OR(MID(A272,5,3)={"FBT","FCH","FMK","FYG","MLK","ICE","FRV","FPO","FRF","FCC","BRD"}),1.28,IF(OR(MID(A272,5,3)={"BIS","CRP","HRB","TUR","IND","HYG"}),1.38,1.31)))),2)</f>
        <v>21.73</v>
      </c>
      <c r="I272" s="29">
        <f>(Table1[[#This Row],[SALE PRICE]]-Table1[[#This Row],[COST PRICE]])/Table1[[#This Row],[SALE PRICE]]</f>
        <v>0.23653934652554076</v>
      </c>
      <c r="J272" s="26" t="str">
        <f>IF(Table1[[#This Row],[MARGIN]]&lt;25%, "REVIEW", "OK")</f>
        <v>REVIEW</v>
      </c>
    </row>
    <row r="273" spans="1:10" ht="15.6" x14ac:dyDescent="0.3">
      <c r="A273" s="17" t="s">
        <v>482</v>
      </c>
      <c r="B273" s="12" t="s">
        <v>483</v>
      </c>
      <c r="C273" s="12" t="s">
        <v>1427</v>
      </c>
      <c r="D273" s="10" t="s">
        <v>8</v>
      </c>
      <c r="E273" s="10" t="s">
        <v>8</v>
      </c>
      <c r="F273" s="12" t="s">
        <v>8</v>
      </c>
      <c r="G273" s="46">
        <v>27.75</v>
      </c>
      <c r="H273" s="46" cm="1">
        <f t="array" ref="H273">ROUND(G273*IF(OR(MID(A273,5,3)={"BFF","PRK","FPL","LMB","FFI","MET","RIC","FLR","SUG","OIL","DRK","JCE","FEG"}),1.21,IF(OR(MID(A273,5,3)={"FVG","FFR"}),1.33,IF(OR(MID(A273,5,3)={"FBT","FCH","FMK","FYG","MLK","ICE","FRV","FPO","FRF","FCC","BRD"}),1.28,IF(OR(MID(A273,5,3)={"BIS","CRP","HRB","TUR","IND","HYG"}),1.38,1.31)))),2)</f>
        <v>36.35</v>
      </c>
      <c r="I273" s="27">
        <f>(Table1[[#This Row],[SALE PRICE]]-Table1[[#This Row],[COST PRICE]])/Table1[[#This Row],[SALE PRICE]]</f>
        <v>0.23658872077028889</v>
      </c>
      <c r="J273" s="27" t="str">
        <f>IF(Table1[[#This Row],[MARGIN]]&lt;25%, "REVIEW", "OK")</f>
        <v>REVIEW</v>
      </c>
    </row>
    <row r="274" spans="1:10" ht="15.6" x14ac:dyDescent="0.3">
      <c r="A274" s="18" t="s">
        <v>484</v>
      </c>
      <c r="B274" s="13" t="s">
        <v>485</v>
      </c>
      <c r="C274" s="13" t="s">
        <v>1429</v>
      </c>
      <c r="D274" s="11" t="s">
        <v>8</v>
      </c>
      <c r="E274" s="11" t="s">
        <v>8</v>
      </c>
      <c r="F274" s="13" t="s">
        <v>8</v>
      </c>
      <c r="G274" s="47">
        <v>3.49</v>
      </c>
      <c r="H274" s="47" cm="1">
        <f t="array" ref="H274">ROUND(G274*IF(OR(MID(A274,5,3)={"BFF","PRK","FPL","LMB","FFI","MET","RIC","FLR","SUG","OIL","DRK","JCE","FEG"}),1.21,IF(OR(MID(A274,5,3)={"FVG","FFR"}),1.33,IF(OR(MID(A274,5,3)={"FBT","FCH","FMK","FYG","MLK","ICE","FRV","FPO","FRF","FCC","BRD"}),1.28,IF(OR(MID(A274,5,3)={"BIS","CRP","HRB","TUR","IND","HYG"}),1.38,1.31)))),2)</f>
        <v>4.57</v>
      </c>
      <c r="I274" s="29">
        <f>(Table1[[#This Row],[SALE PRICE]]-Table1[[#This Row],[COST PRICE]])/Table1[[#This Row],[SALE PRICE]]</f>
        <v>0.23632385120350111</v>
      </c>
      <c r="J274" s="26" t="str">
        <f>IF(Table1[[#This Row],[MARGIN]]&lt;25%, "REVIEW", "OK")</f>
        <v>REVIEW</v>
      </c>
    </row>
    <row r="275" spans="1:10" s="1" customFormat="1" ht="15.6" x14ac:dyDescent="0.3">
      <c r="A275" s="16" t="s">
        <v>486</v>
      </c>
      <c r="B275" s="2" t="s">
        <v>8</v>
      </c>
      <c r="C275" s="2"/>
      <c r="D275" s="2" t="s">
        <v>8</v>
      </c>
      <c r="E275" s="2" t="s">
        <v>8</v>
      </c>
      <c r="F275" s="2" t="s">
        <v>8</v>
      </c>
      <c r="G275" s="48" t="s">
        <v>8</v>
      </c>
      <c r="H275" s="48" t="e" cm="1">
        <f t="array" ref="H275">ROUND(G275*IF(OR(MID(A275,5,3)={"BFF","PRK","FPL","LMB","FFI","MET","RIC","FLR","SUG","OIL","DRK","JCE","FEG"}),1.21,IF(OR(MID(A275,5,3)={"FVG","FFR"}),1.33,IF(OR(MID(A275,5,3)={"FBT","FCH","FMK","FYG","MLK","ICE","FRV","FPO","FRF","FCC","BRD"}),1.28,IF(OR(MID(A275,5,3)={"BIS","CRP","HRB","TUR","IND","HYG"}),1.38,1.31)))),2)</f>
        <v>#VALUE!</v>
      </c>
      <c r="I275" s="19"/>
      <c r="J275" s="19"/>
    </row>
    <row r="276" spans="1:10" ht="15.6" x14ac:dyDescent="0.3">
      <c r="A276" s="17" t="s">
        <v>487</v>
      </c>
      <c r="B276" s="12" t="s">
        <v>488</v>
      </c>
      <c r="C276" s="12" t="s">
        <v>1427</v>
      </c>
      <c r="D276" s="10" t="s">
        <v>8</v>
      </c>
      <c r="E276" s="10" t="s">
        <v>8</v>
      </c>
      <c r="F276" s="12" t="s">
        <v>8</v>
      </c>
      <c r="G276" s="46">
        <v>28.96</v>
      </c>
      <c r="H276" s="47" cm="1">
        <f t="array" ref="H276">ROUND(G276*IF(OR(MID(A276,5,3)={"BFF","PRK","FPL","LMB","FFI","MET","RIC","FLR","SUG","OIL","DRK","JCE","FEG"}),1.21,IF(OR(MID(A276,5,3)={"FVG","FFR"}),1.33,IF(OR(MID(A276,5,3)={"FBT","FCH","FMK","FYG","MLK","ICE","FRV","FPO","FRF","FCC","BRD"}),1.28,IF(OR(MID(A276,5,3)={"BIS","CRP","HRB","TUR","IND","HYG"}),1.38,1.31)))),2)</f>
        <v>35.04</v>
      </c>
      <c r="I276" s="29">
        <f>(Table1[[#This Row],[SALE PRICE]]-Table1[[#This Row],[COST PRICE]])/Table1[[#This Row],[SALE PRICE]]</f>
        <v>0.17351598173515978</v>
      </c>
      <c r="J276" s="26" t="str">
        <f>IF(Table1[[#This Row],[MARGIN]]&lt;25%, "REVIEW", "OK")</f>
        <v>REVIEW</v>
      </c>
    </row>
    <row r="277" spans="1:10" ht="15.6" x14ac:dyDescent="0.3">
      <c r="A277" s="18" t="s">
        <v>489</v>
      </c>
      <c r="B277" s="13" t="s">
        <v>490</v>
      </c>
      <c r="C277" s="13" t="s">
        <v>1427</v>
      </c>
      <c r="D277" s="11" t="s">
        <v>8</v>
      </c>
      <c r="E277" s="11" t="s">
        <v>8</v>
      </c>
      <c r="F277" s="13" t="s">
        <v>8</v>
      </c>
      <c r="G277" s="47">
        <v>46.79</v>
      </c>
      <c r="H277" s="46" cm="1">
        <f t="array" ref="H277">ROUND(G277*IF(OR(MID(A277,5,3)={"BFF","PRK","FPL","LMB","FFI","MET","RIC","FLR","SUG","OIL","DRK","JCE","FEG"}),1.21,IF(OR(MID(A277,5,3)={"FVG","FFR"}),1.33,IF(OR(MID(A277,5,3)={"FBT","FCH","FMK","FYG","MLK","ICE","FRV","FPO","FRF","FCC","BRD"}),1.28,IF(OR(MID(A277,5,3)={"BIS","CRP","HRB","TUR","IND","HYG"}),1.38,1.31)))),2)</f>
        <v>56.62</v>
      </c>
      <c r="I277" s="27">
        <f>(Table1[[#This Row],[SALE PRICE]]-Table1[[#This Row],[COST PRICE]])/Table1[[#This Row],[SALE PRICE]]</f>
        <v>0.17361356411162132</v>
      </c>
      <c r="J277" s="27" t="str">
        <f>IF(Table1[[#This Row],[MARGIN]]&lt;25%, "REVIEW", "OK")</f>
        <v>REVIEW</v>
      </c>
    </row>
    <row r="278" spans="1:10" ht="15.6" x14ac:dyDescent="0.3">
      <c r="A278" s="17" t="s">
        <v>491</v>
      </c>
      <c r="B278" s="12" t="s">
        <v>492</v>
      </c>
      <c r="C278" s="12" t="s">
        <v>1427</v>
      </c>
      <c r="D278" s="10" t="s">
        <v>8</v>
      </c>
      <c r="E278" s="10" t="s">
        <v>8</v>
      </c>
      <c r="F278" s="12" t="s">
        <v>8</v>
      </c>
      <c r="G278" s="46">
        <v>24.09</v>
      </c>
      <c r="H278" s="47" cm="1">
        <f t="array" ref="H278">ROUND(G278*IF(OR(MID(A278,5,3)={"BFF","PRK","FPL","LMB","FFI","MET","RIC","FLR","SUG","OIL","DRK","JCE","FEG"}),1.21,IF(OR(MID(A278,5,3)={"FVG","FFR"}),1.33,IF(OR(MID(A278,5,3)={"FBT","FCH","FMK","FYG","MLK","ICE","FRV","FPO","FRF","FCC","BRD"}),1.28,IF(OR(MID(A278,5,3)={"BIS","CRP","HRB","TUR","IND","HYG"}),1.38,1.31)))),2)</f>
        <v>29.15</v>
      </c>
      <c r="I278" s="29">
        <f>(Table1[[#This Row],[SALE PRICE]]-Table1[[#This Row],[COST PRICE]])/Table1[[#This Row],[SALE PRICE]]</f>
        <v>0.17358490566037732</v>
      </c>
      <c r="J278" s="26" t="str">
        <f>IF(Table1[[#This Row],[MARGIN]]&lt;25%, "REVIEW", "OK")</f>
        <v>REVIEW</v>
      </c>
    </row>
    <row r="279" spans="1:10" ht="15.6" x14ac:dyDescent="0.3">
      <c r="A279" s="18" t="s">
        <v>493</v>
      </c>
      <c r="B279" s="13" t="s">
        <v>494</v>
      </c>
      <c r="C279" s="13" t="s">
        <v>1427</v>
      </c>
      <c r="D279" s="11" t="s">
        <v>8</v>
      </c>
      <c r="E279" s="11" t="s">
        <v>8</v>
      </c>
      <c r="F279" s="13" t="s">
        <v>8</v>
      </c>
      <c r="G279" s="47">
        <v>28.99</v>
      </c>
      <c r="H279" s="46" cm="1">
        <f t="array" ref="H279">ROUND(G279*IF(OR(MID(A279,5,3)={"BFF","PRK","FPL","LMB","FFI","MET","RIC","FLR","SUG","OIL","DRK","JCE","FEG"}),1.21,IF(OR(MID(A279,5,3)={"FVG","FFR"}),1.33,IF(OR(MID(A279,5,3)={"FBT","FCH","FMK","FYG","MLK","ICE","FRV","FPO","FRF","FCC","BRD"}),1.28,IF(OR(MID(A279,5,3)={"BIS","CRP","HRB","TUR","IND","HYG"}),1.38,1.31)))),2)</f>
        <v>35.08</v>
      </c>
      <c r="I279" s="27">
        <f>(Table1[[#This Row],[SALE PRICE]]-Table1[[#This Row],[COST PRICE]])/Table1[[#This Row],[SALE PRICE]]</f>
        <v>0.17360319270239452</v>
      </c>
      <c r="J279" s="27" t="str">
        <f>IF(Table1[[#This Row],[MARGIN]]&lt;25%, "REVIEW", "OK")</f>
        <v>REVIEW</v>
      </c>
    </row>
    <row r="280" spans="1:10" ht="15.6" x14ac:dyDescent="0.3">
      <c r="A280" s="17" t="s">
        <v>495</v>
      </c>
      <c r="B280" s="12" t="s">
        <v>496</v>
      </c>
      <c r="C280" s="12" t="s">
        <v>1429</v>
      </c>
      <c r="D280" s="10" t="s">
        <v>8</v>
      </c>
      <c r="E280" s="10" t="s">
        <v>8</v>
      </c>
      <c r="F280" s="12" t="s">
        <v>8</v>
      </c>
      <c r="G280" s="46">
        <v>5.49</v>
      </c>
      <c r="H280" s="47" cm="1">
        <f t="array" ref="H280">ROUND(G280*IF(OR(MID(A280,5,3)={"BFF","PRK","FPL","LMB","FFI","MET","RIC","FLR","SUG","OIL","DRK","JCE","FEG"}),1.21,IF(OR(MID(A280,5,3)={"FVG","FFR"}),1.33,IF(OR(MID(A280,5,3)={"FBT","FCH","FMK","FYG","MLK","ICE","FRV","FPO","FRF","FCC","BRD"}),1.28,IF(OR(MID(A280,5,3)={"BIS","CRP","HRB","TUR","IND","HYG"}),1.38,1.31)))),2)</f>
        <v>6.64</v>
      </c>
      <c r="I280" s="29">
        <f>(Table1[[#This Row],[SALE PRICE]]-Table1[[#This Row],[COST PRICE]])/Table1[[#This Row],[SALE PRICE]]</f>
        <v>0.17319277108433728</v>
      </c>
      <c r="J280" s="26" t="str">
        <f>IF(Table1[[#This Row],[MARGIN]]&lt;25%, "REVIEW", "OK")</f>
        <v>REVIEW</v>
      </c>
    </row>
    <row r="281" spans="1:10" ht="15.6" x14ac:dyDescent="0.3">
      <c r="A281" s="18" t="s">
        <v>497</v>
      </c>
      <c r="B281" s="13" t="s">
        <v>498</v>
      </c>
      <c r="C281" s="13" t="s">
        <v>1427</v>
      </c>
      <c r="D281" s="11" t="s">
        <v>8</v>
      </c>
      <c r="E281" s="11" t="s">
        <v>8</v>
      </c>
      <c r="F281" s="13" t="s">
        <v>8</v>
      </c>
      <c r="G281" s="47">
        <v>13.49</v>
      </c>
      <c r="H281" s="46" cm="1">
        <f t="array" ref="H281">ROUND(G281*IF(OR(MID(A281,5,3)={"BFF","PRK","FPL","LMB","FFI","MET","RIC","FLR","SUG","OIL","DRK","JCE","FEG"}),1.21,IF(OR(MID(A281,5,3)={"FVG","FFR"}),1.33,IF(OR(MID(A281,5,3)={"FBT","FCH","FMK","FYG","MLK","ICE","FRV","FPO","FRF","FCC","BRD"}),1.28,IF(OR(MID(A281,5,3)={"BIS","CRP","HRB","TUR","IND","HYG"}),1.38,1.31)))),2)</f>
        <v>16.32</v>
      </c>
      <c r="I281" s="27">
        <f>(Table1[[#This Row],[SALE PRICE]]-Table1[[#This Row],[COST PRICE]])/Table1[[#This Row],[SALE PRICE]]</f>
        <v>0.17340686274509803</v>
      </c>
      <c r="J281" s="27" t="str">
        <f>IF(Table1[[#This Row],[MARGIN]]&lt;25%, "REVIEW", "OK")</f>
        <v>REVIEW</v>
      </c>
    </row>
    <row r="282" spans="1:10" ht="15.6" x14ac:dyDescent="0.3">
      <c r="A282" s="17" t="s">
        <v>499</v>
      </c>
      <c r="B282" s="12" t="s">
        <v>500</v>
      </c>
      <c r="C282" s="12" t="s">
        <v>1429</v>
      </c>
      <c r="D282" s="10" t="s">
        <v>8</v>
      </c>
      <c r="E282" s="10" t="s">
        <v>8</v>
      </c>
      <c r="F282" s="12" t="s">
        <v>8</v>
      </c>
      <c r="G282" s="46">
        <v>16.489999999999998</v>
      </c>
      <c r="H282" s="47" cm="1">
        <f t="array" ref="H282">ROUND(G282*IF(OR(MID(A282,5,3)={"BFF","PRK","FPL","LMB","FFI","MET","RIC","FLR","SUG","OIL","DRK","JCE","FEG"}),1.21,IF(OR(MID(A282,5,3)={"FVG","FFR"}),1.33,IF(OR(MID(A282,5,3)={"FBT","FCH","FMK","FYG","MLK","ICE","FRV","FPO","FRF","FCC","BRD"}),1.28,IF(OR(MID(A282,5,3)={"BIS","CRP","HRB","TUR","IND","HYG"}),1.38,1.31)))),2)</f>
        <v>19.95</v>
      </c>
      <c r="I282" s="29">
        <f>(Table1[[#This Row],[SALE PRICE]]-Table1[[#This Row],[COST PRICE]])/Table1[[#This Row],[SALE PRICE]]</f>
        <v>0.1734335839598998</v>
      </c>
      <c r="J282" s="26" t="str">
        <f>IF(Table1[[#This Row],[MARGIN]]&lt;25%, "REVIEW", "OK")</f>
        <v>REVIEW</v>
      </c>
    </row>
    <row r="283" spans="1:10" ht="15.6" x14ac:dyDescent="0.3">
      <c r="A283" s="18" t="s">
        <v>501</v>
      </c>
      <c r="B283" s="13" t="s">
        <v>502</v>
      </c>
      <c r="C283" s="13" t="s">
        <v>1429</v>
      </c>
      <c r="D283" s="11" t="s">
        <v>8</v>
      </c>
      <c r="E283" s="11" t="s">
        <v>8</v>
      </c>
      <c r="F283" s="13" t="s">
        <v>8</v>
      </c>
      <c r="G283" s="47">
        <v>8.99</v>
      </c>
      <c r="H283" s="46" cm="1">
        <f t="array" ref="H283">ROUND(G283*IF(OR(MID(A283,5,3)={"BFF","PRK","FPL","LMB","FFI","MET","RIC","FLR","SUG","OIL","DRK","JCE","FEG"}),1.21,IF(OR(MID(A283,5,3)={"FVG","FFR"}),1.33,IF(OR(MID(A283,5,3)={"FBT","FCH","FMK","FYG","MLK","ICE","FRV","FPO","FRF","FCC","BRD"}),1.28,IF(OR(MID(A283,5,3)={"BIS","CRP","HRB","TUR","IND","HYG"}),1.38,1.31)))),2)</f>
        <v>10.88</v>
      </c>
      <c r="I283" s="27">
        <f>(Table1[[#This Row],[SALE PRICE]]-Table1[[#This Row],[COST PRICE]])/Table1[[#This Row],[SALE PRICE]]</f>
        <v>0.1737132352941177</v>
      </c>
      <c r="J283" s="27" t="str">
        <f>IF(Table1[[#This Row],[MARGIN]]&lt;25%, "REVIEW", "OK")</f>
        <v>REVIEW</v>
      </c>
    </row>
    <row r="284" spans="1:10" ht="15.6" x14ac:dyDescent="0.3">
      <c r="A284" s="17" t="s">
        <v>503</v>
      </c>
      <c r="B284" s="12" t="s">
        <v>504</v>
      </c>
      <c r="C284" s="12" t="s">
        <v>1427</v>
      </c>
      <c r="D284" s="10" t="s">
        <v>8</v>
      </c>
      <c r="E284" s="10" t="s">
        <v>8</v>
      </c>
      <c r="F284" s="12" t="s">
        <v>8</v>
      </c>
      <c r="G284" s="46">
        <v>24.49</v>
      </c>
      <c r="H284" s="47" cm="1">
        <f t="array" ref="H284">ROUND(G284*IF(OR(MID(A284,5,3)={"BFF","PRK","FPL","LMB","FFI","MET","RIC","FLR","SUG","OIL","DRK","JCE","FEG"}),1.21,IF(OR(MID(A284,5,3)={"FVG","FFR"}),1.33,IF(OR(MID(A284,5,3)={"FBT","FCH","FMK","FYG","MLK","ICE","FRV","FPO","FRF","FCC","BRD"}),1.28,IF(OR(MID(A284,5,3)={"BIS","CRP","HRB","TUR","IND","HYG"}),1.38,1.31)))),2)</f>
        <v>29.63</v>
      </c>
      <c r="I284" s="29">
        <f>(Table1[[#This Row],[SALE PRICE]]-Table1[[#This Row],[COST PRICE]])/Table1[[#This Row],[SALE PRICE]]</f>
        <v>0.17347283158960516</v>
      </c>
      <c r="J284" s="26" t="str">
        <f>IF(Table1[[#This Row],[MARGIN]]&lt;25%, "REVIEW", "OK")</f>
        <v>REVIEW</v>
      </c>
    </row>
    <row r="285" spans="1:10" s="1" customFormat="1" ht="15.6" x14ac:dyDescent="0.3">
      <c r="A285" s="16" t="s">
        <v>505</v>
      </c>
      <c r="B285" s="2" t="s">
        <v>8</v>
      </c>
      <c r="C285" s="2"/>
      <c r="D285" s="2" t="s">
        <v>8</v>
      </c>
      <c r="E285" s="2" t="s">
        <v>8</v>
      </c>
      <c r="F285" s="2" t="s">
        <v>8</v>
      </c>
      <c r="G285" s="48" t="s">
        <v>8</v>
      </c>
      <c r="H285" s="48" t="e" cm="1">
        <f t="array" ref="H285">ROUND(G285*IF(OR(MID(A285,5,3)={"BFF","PRK","FPL","LMB","FFI","MET","RIC","FLR","SUG","OIL","DRK","JCE","FEG"}),1.21,IF(OR(MID(A285,5,3)={"FVG","FFR"}),1.33,IF(OR(MID(A285,5,3)={"FBT","FCH","FMK","FYG","MLK","ICE","FRV","FPO","FRF","FCC","BRD"}),1.28,IF(OR(MID(A285,5,3)={"BIS","CRP","HRB","TUR","IND","HYG"}),1.38,1.31)))),2)</f>
        <v>#VALUE!</v>
      </c>
      <c r="I285" s="19"/>
      <c r="J285" s="19"/>
    </row>
    <row r="286" spans="1:10" ht="15.6" x14ac:dyDescent="0.3">
      <c r="A286" s="18" t="s">
        <v>506</v>
      </c>
      <c r="B286" s="13" t="s">
        <v>507</v>
      </c>
      <c r="C286" s="13" t="s">
        <v>1432</v>
      </c>
      <c r="D286" s="11" t="s">
        <v>8</v>
      </c>
      <c r="E286" s="11" t="s">
        <v>8</v>
      </c>
      <c r="F286" s="13" t="s">
        <v>8</v>
      </c>
      <c r="G286" s="47">
        <v>26.99</v>
      </c>
      <c r="H286" s="47" cm="1">
        <f t="array" ref="H286">ROUND(G286*IF(OR(MID(A286,5,3)={"BFF","PRK","FPL","LMB","FFI","MET","RIC","FLR","SUG","OIL","DRK","JCE","FEG"}),1.21,IF(OR(MID(A286,5,3)={"FVG","FFR"}),1.33,IF(OR(MID(A286,5,3)={"FBT","FCH","FMK","FYG","MLK","ICE","FRV","FPO","FRF","FCC","BRD"}),1.28,IF(OR(MID(A286,5,3)={"BIS","CRP","HRB","TUR","IND","HYG"}),1.38,1.31)))),2)</f>
        <v>32.659999999999997</v>
      </c>
      <c r="I286" s="29">
        <f>(Table1[[#This Row],[SALE PRICE]]-Table1[[#This Row],[COST PRICE]])/Table1[[#This Row],[SALE PRICE]]</f>
        <v>0.17360685854255967</v>
      </c>
      <c r="J286" s="26" t="str">
        <f>IF(Table1[[#This Row],[MARGIN]]&lt;25%, "REVIEW", "OK")</f>
        <v>REVIEW</v>
      </c>
    </row>
    <row r="287" spans="1:10" ht="15.6" x14ac:dyDescent="0.3">
      <c r="A287" s="17" t="s">
        <v>508</v>
      </c>
      <c r="B287" s="12" t="s">
        <v>509</v>
      </c>
      <c r="C287" s="12" t="s">
        <v>1427</v>
      </c>
      <c r="D287" s="10" t="s">
        <v>8</v>
      </c>
      <c r="E287" s="10" t="s">
        <v>8</v>
      </c>
      <c r="F287" s="12" t="s">
        <v>8</v>
      </c>
      <c r="G287" s="46">
        <v>18.79</v>
      </c>
      <c r="H287" s="46" cm="1">
        <f t="array" ref="H287">ROUND(G287*IF(OR(MID(A287,5,3)={"BFF","PRK","FPL","LMB","FFI","MET","RIC","FLR","SUG","OIL","DRK","JCE","FEG"}),1.21,IF(OR(MID(A287,5,3)={"FVG","FFR"}),1.33,IF(OR(MID(A287,5,3)={"FBT","FCH","FMK","FYG","MLK","ICE","FRV","FPO","FRF","FCC","BRD"}),1.28,IF(OR(MID(A287,5,3)={"BIS","CRP","HRB","TUR","IND","HYG"}),1.38,1.31)))),2)</f>
        <v>22.74</v>
      </c>
      <c r="I287" s="27">
        <f>(Table1[[#This Row],[SALE PRICE]]-Table1[[#This Row],[COST PRICE]])/Table1[[#This Row],[SALE PRICE]]</f>
        <v>0.173702726473175</v>
      </c>
      <c r="J287" s="27" t="str">
        <f>IF(Table1[[#This Row],[MARGIN]]&lt;25%, "REVIEW", "OK")</f>
        <v>REVIEW</v>
      </c>
    </row>
    <row r="288" spans="1:10" ht="15.6" x14ac:dyDescent="0.3">
      <c r="A288" s="18" t="s">
        <v>510</v>
      </c>
      <c r="B288" s="13" t="s">
        <v>511</v>
      </c>
      <c r="C288" s="13" t="s">
        <v>1427</v>
      </c>
      <c r="D288" s="11" t="s">
        <v>8</v>
      </c>
      <c r="E288" s="11" t="s">
        <v>8</v>
      </c>
      <c r="F288" s="13" t="s">
        <v>8</v>
      </c>
      <c r="G288" s="47">
        <v>19.489999999999998</v>
      </c>
      <c r="H288" s="47" cm="1">
        <f t="array" ref="H288">ROUND(G288*IF(OR(MID(A288,5,3)={"BFF","PRK","FPL","LMB","FFI","MET","RIC","FLR","SUG","OIL","DRK","JCE","FEG"}),1.21,IF(OR(MID(A288,5,3)={"FVG","FFR"}),1.33,IF(OR(MID(A288,5,3)={"FBT","FCH","FMK","FYG","MLK","ICE","FRV","FPO","FRF","FCC","BRD"}),1.28,IF(OR(MID(A288,5,3)={"BIS","CRP","HRB","TUR","IND","HYG"}),1.38,1.31)))),2)</f>
        <v>23.58</v>
      </c>
      <c r="I288" s="29">
        <f>(Table1[[#This Row],[SALE PRICE]]-Table1[[#This Row],[COST PRICE]])/Table1[[#This Row],[SALE PRICE]]</f>
        <v>0.1734520780322307</v>
      </c>
      <c r="J288" s="26" t="str">
        <f>IF(Table1[[#This Row],[MARGIN]]&lt;25%, "REVIEW", "OK")</f>
        <v>REVIEW</v>
      </c>
    </row>
    <row r="289" spans="1:10" ht="15.6" x14ac:dyDescent="0.3">
      <c r="A289" s="17" t="s">
        <v>512</v>
      </c>
      <c r="B289" s="12" t="s">
        <v>513</v>
      </c>
      <c r="C289" s="12" t="s">
        <v>1434</v>
      </c>
      <c r="D289" s="10" t="s">
        <v>8</v>
      </c>
      <c r="E289" s="10" t="s">
        <v>8</v>
      </c>
      <c r="F289" s="12" t="s">
        <v>8</v>
      </c>
      <c r="G289" s="46">
        <v>31.79</v>
      </c>
      <c r="H289" s="46" cm="1">
        <f t="array" ref="H289">ROUND(G289*IF(OR(MID(A289,5,3)={"BFF","PRK","FPL","LMB","FFI","MET","RIC","FLR","SUG","OIL","DRK","JCE","FEG"}),1.21,IF(OR(MID(A289,5,3)={"FVG","FFR"}),1.33,IF(OR(MID(A289,5,3)={"FBT","FCH","FMK","FYG","MLK","ICE","FRV","FPO","FRF","FCC","BRD"}),1.28,IF(OR(MID(A289,5,3)={"BIS","CRP","HRB","TUR","IND","HYG"}),1.38,1.31)))),2)</f>
        <v>38.47</v>
      </c>
      <c r="I289" s="27">
        <f>(Table1[[#This Row],[SALE PRICE]]-Table1[[#This Row],[COST PRICE]])/Table1[[#This Row],[SALE PRICE]]</f>
        <v>0.17364179880426306</v>
      </c>
      <c r="J289" s="27" t="str">
        <f>IF(Table1[[#This Row],[MARGIN]]&lt;25%, "REVIEW", "OK")</f>
        <v>REVIEW</v>
      </c>
    </row>
    <row r="290" spans="1:10" ht="15.6" x14ac:dyDescent="0.3">
      <c r="A290" s="18" t="s">
        <v>514</v>
      </c>
      <c r="B290" s="13" t="s">
        <v>515</v>
      </c>
      <c r="C290" s="13" t="s">
        <v>1434</v>
      </c>
      <c r="D290" s="11" t="s">
        <v>8</v>
      </c>
      <c r="E290" s="11" t="s">
        <v>8</v>
      </c>
      <c r="F290" s="13" t="s">
        <v>8</v>
      </c>
      <c r="G290" s="47">
        <v>32.49</v>
      </c>
      <c r="H290" s="47" cm="1">
        <f t="array" ref="H290">ROUND(G290*IF(OR(MID(A290,5,3)={"BFF","PRK","FPL","LMB","FFI","MET","RIC","FLR","SUG","OIL","DRK","JCE","FEG"}),1.21,IF(OR(MID(A290,5,3)={"FVG","FFR"}),1.33,IF(OR(MID(A290,5,3)={"FBT","FCH","FMK","FYG","MLK","ICE","FRV","FPO","FRF","FCC","BRD"}),1.28,IF(OR(MID(A290,5,3)={"BIS","CRP","HRB","TUR","IND","HYG"}),1.38,1.31)))),2)</f>
        <v>39.31</v>
      </c>
      <c r="I290" s="29">
        <f>(Table1[[#This Row],[SALE PRICE]]-Table1[[#This Row],[COST PRICE]])/Table1[[#This Row],[SALE PRICE]]</f>
        <v>0.17349274993640296</v>
      </c>
      <c r="J290" s="26" t="str">
        <f>IF(Table1[[#This Row],[MARGIN]]&lt;25%, "REVIEW", "OK")</f>
        <v>REVIEW</v>
      </c>
    </row>
    <row r="291" spans="1:10" ht="15.6" x14ac:dyDescent="0.3">
      <c r="A291" s="17" t="s">
        <v>516</v>
      </c>
      <c r="B291" s="12" t="s">
        <v>517</v>
      </c>
      <c r="C291" s="12" t="s">
        <v>1434</v>
      </c>
      <c r="D291" s="10" t="s">
        <v>8</v>
      </c>
      <c r="E291" s="10" t="s">
        <v>8</v>
      </c>
      <c r="F291" s="12" t="s">
        <v>8</v>
      </c>
      <c r="G291" s="46">
        <v>6.99</v>
      </c>
      <c r="H291" s="46" cm="1">
        <f t="array" ref="H291">ROUND(G291*IF(OR(MID(A291,5,3)={"BFF","PRK","FPL","LMB","FFI","MET","RIC","FLR","SUG","OIL","DRK","JCE","FEG"}),1.21,IF(OR(MID(A291,5,3)={"FVG","FFR"}),1.33,IF(OR(MID(A291,5,3)={"FBT","FCH","FMK","FYG","MLK","ICE","FRV","FPO","FRF","FCC","BRD"}),1.28,IF(OR(MID(A291,5,3)={"BIS","CRP","HRB","TUR","IND","HYG"}),1.38,1.31)))),2)</f>
        <v>8.4600000000000009</v>
      </c>
      <c r="I291" s="27">
        <f>(Table1[[#This Row],[SALE PRICE]]-Table1[[#This Row],[COST PRICE]])/Table1[[#This Row],[SALE PRICE]]</f>
        <v>0.17375886524822701</v>
      </c>
      <c r="J291" s="27" t="str">
        <f>IF(Table1[[#This Row],[MARGIN]]&lt;25%, "REVIEW", "OK")</f>
        <v>REVIEW</v>
      </c>
    </row>
    <row r="292" spans="1:10" s="1" customFormat="1" ht="31.2" x14ac:dyDescent="0.3">
      <c r="A292" s="16" t="s">
        <v>518</v>
      </c>
      <c r="B292" s="2" t="s">
        <v>8</v>
      </c>
      <c r="C292" s="2"/>
      <c r="D292" s="2" t="s">
        <v>8</v>
      </c>
      <c r="E292" s="2" t="s">
        <v>8</v>
      </c>
      <c r="F292" s="2" t="s">
        <v>8</v>
      </c>
      <c r="G292" s="48" t="s">
        <v>8</v>
      </c>
      <c r="H292" s="48" t="e" cm="1">
        <f t="array" ref="H292">ROUND(G292*IF(OR(MID(A292,5,3)={"BFF","PRK","FPL","LMB","FFI","MET","RIC","FLR","SUG","OIL","DRK","JCE","FEG"}),1.21,IF(OR(MID(A292,5,3)={"FVG","FFR"}),1.33,IF(OR(MID(A292,5,3)={"FBT","FCH","FMK","FYG","MLK","ICE","FRV","FPO","FRF","FCC","BRD"}),1.28,IF(OR(MID(A292,5,3)={"BIS","CRP","HRB","TUR","IND","HYG"}),1.38,1.31)))),2)</f>
        <v>#VALUE!</v>
      </c>
      <c r="I292" s="19"/>
      <c r="J292" s="19"/>
    </row>
    <row r="293" spans="1:10" ht="15.6" x14ac:dyDescent="0.3">
      <c r="A293" s="18" t="s">
        <v>519</v>
      </c>
      <c r="B293" s="13" t="s">
        <v>1704</v>
      </c>
      <c r="C293" s="13" t="s">
        <v>1430</v>
      </c>
      <c r="D293" s="11"/>
      <c r="E293" s="11"/>
      <c r="F293" s="13"/>
      <c r="G293" s="47">
        <v>2.99</v>
      </c>
      <c r="H293" s="47" cm="1">
        <f t="array" ref="H293">ROUND(G293*IF(OR(MID(A293,5,3)={"BFF","PRK","FPL","LMB","FFI","MET","RIC","FLR","SUG","OIL","DRK","JCE","FEG"}),1.21,IF(OR(MID(A293,5,3)={"FVG","FFR"}),1.33,IF(OR(MID(A293,5,3)={"FBT","FCH","FMK","FYG","MLK","ICE","FRV","FPO","FRF","FCC","BRD"}),1.28,IF(OR(MID(A293,5,3)={"BIS","CRP","HRB","TUR","IND","HYG"}),1.38,1.31)))),2)</f>
        <v>4.13</v>
      </c>
      <c r="I293" s="27">
        <f>(Table1[[#This Row],[SALE PRICE]]-Table1[[#This Row],[COST PRICE]])/Table1[[#This Row],[SALE PRICE]]</f>
        <v>0.27602905569007258</v>
      </c>
      <c r="J293" s="27" t="str">
        <f>IF(Table1[[#This Row],[MARGIN]]&lt;25%, "REVIEW", "OK")</f>
        <v>OK</v>
      </c>
    </row>
    <row r="294" spans="1:10" ht="15.6" x14ac:dyDescent="0.3">
      <c r="A294" s="17" t="s">
        <v>520</v>
      </c>
      <c r="B294" s="12" t="s">
        <v>1705</v>
      </c>
      <c r="C294" s="12" t="s">
        <v>1426</v>
      </c>
      <c r="D294" s="10"/>
      <c r="E294" s="10"/>
      <c r="F294" s="12"/>
      <c r="G294" s="46">
        <v>13.49</v>
      </c>
      <c r="H294" s="46" cm="1">
        <f t="array" ref="H294">ROUND(G294*IF(OR(MID(A294,5,3)={"BFF","PRK","FPL","LMB","FFI","MET","RIC","FLR","SUG","OIL","DRK","JCE","FEG"}),1.21,IF(OR(MID(A294,5,3)={"FVG","FFR"}),1.33,IF(OR(MID(A294,5,3)={"FBT","FCH","FMK","FYG","MLK","ICE","FRV","FPO","FRF","FCC","BRD"}),1.28,IF(OR(MID(A294,5,3)={"BIS","CRP","HRB","TUR","IND","HYG"}),1.38,1.31)))),2)</f>
        <v>18.62</v>
      </c>
      <c r="I294" s="29">
        <f>(Table1[[#This Row],[SALE PRICE]]-Table1[[#This Row],[COST PRICE]])/Table1[[#This Row],[SALE PRICE]]</f>
        <v>0.27551020408163268</v>
      </c>
      <c r="J294" s="26" t="str">
        <f>IF(Table1[[#This Row],[MARGIN]]&lt;25%, "REVIEW", "OK")</f>
        <v>OK</v>
      </c>
    </row>
    <row r="295" spans="1:10" ht="15.6" x14ac:dyDescent="0.3">
      <c r="A295" s="18" t="s">
        <v>521</v>
      </c>
      <c r="B295" s="13" t="s">
        <v>1706</v>
      </c>
      <c r="C295" s="13" t="s">
        <v>1430</v>
      </c>
      <c r="D295" s="11"/>
      <c r="E295" s="11"/>
      <c r="F295" s="13"/>
      <c r="G295" s="47">
        <v>3.49</v>
      </c>
      <c r="H295" s="47" cm="1">
        <f t="array" ref="H295">ROUND(G295*IF(OR(MID(A295,5,3)={"BFF","PRK","FPL","LMB","FFI","MET","RIC","FLR","SUG","OIL","DRK","JCE","FEG"}),1.21,IF(OR(MID(A295,5,3)={"FVG","FFR"}),1.33,IF(OR(MID(A295,5,3)={"FBT","FCH","FMK","FYG","MLK","ICE","FRV","FPO","FRF","FCC","BRD"}),1.28,IF(OR(MID(A295,5,3)={"BIS","CRP","HRB","TUR","IND","HYG"}),1.38,1.31)))),2)</f>
        <v>4.82</v>
      </c>
      <c r="I295" s="27">
        <f>(Table1[[#This Row],[SALE PRICE]]-Table1[[#This Row],[COST PRICE]])/Table1[[#This Row],[SALE PRICE]]</f>
        <v>0.27593360995850624</v>
      </c>
      <c r="J295" s="27" t="str">
        <f>IF(Table1[[#This Row],[MARGIN]]&lt;25%, "REVIEW", "OK")</f>
        <v>OK</v>
      </c>
    </row>
    <row r="296" spans="1:10" ht="15.6" x14ac:dyDescent="0.3">
      <c r="A296" s="17" t="s">
        <v>522</v>
      </c>
      <c r="B296" s="12" t="s">
        <v>1707</v>
      </c>
      <c r="C296" s="12" t="s">
        <v>1426</v>
      </c>
      <c r="D296" s="10"/>
      <c r="E296" s="10"/>
      <c r="F296" s="12"/>
      <c r="G296" s="46">
        <v>17.489999999999998</v>
      </c>
      <c r="H296" s="46" cm="1">
        <f t="array" ref="H296">ROUND(G296*IF(OR(MID(A296,5,3)={"BFF","PRK","FPL","LMB","FFI","MET","RIC","FLR","SUG","OIL","DRK","JCE","FEG"}),1.21,IF(OR(MID(A296,5,3)={"FVG","FFR"}),1.33,IF(OR(MID(A296,5,3)={"FBT","FCH","FMK","FYG","MLK","ICE","FRV","FPO","FRF","FCC","BRD"}),1.28,IF(OR(MID(A296,5,3)={"BIS","CRP","HRB","TUR","IND","HYG"}),1.38,1.31)))),2)</f>
        <v>24.14</v>
      </c>
      <c r="I296" s="29">
        <f>(Table1[[#This Row],[SALE PRICE]]-Table1[[#This Row],[COST PRICE]])/Table1[[#This Row],[SALE PRICE]]</f>
        <v>0.27547638773819394</v>
      </c>
      <c r="J296" s="26" t="str">
        <f>IF(Table1[[#This Row],[MARGIN]]&lt;25%, "REVIEW", "OK")</f>
        <v>OK</v>
      </c>
    </row>
    <row r="297" spans="1:10" ht="15.6" x14ac:dyDescent="0.3">
      <c r="A297" s="18" t="s">
        <v>523</v>
      </c>
      <c r="B297" s="13" t="s">
        <v>1708</v>
      </c>
      <c r="C297" s="13" t="s">
        <v>1430</v>
      </c>
      <c r="D297" s="11"/>
      <c r="E297" s="11"/>
      <c r="F297" s="13"/>
      <c r="G297" s="47">
        <v>2.99</v>
      </c>
      <c r="H297" s="47" cm="1">
        <f t="array" ref="H297">ROUND(G297*IF(OR(MID(A297,5,3)={"BFF","PRK","FPL","LMB","FFI","MET","RIC","FLR","SUG","OIL","DRK","JCE","FEG"}),1.21,IF(OR(MID(A297,5,3)={"FVG","FFR"}),1.33,IF(OR(MID(A297,5,3)={"FBT","FCH","FMK","FYG","MLK","ICE","FRV","FPO","FRF","FCC","BRD"}),1.28,IF(OR(MID(A297,5,3)={"BIS","CRP","HRB","TUR","IND","HYG"}),1.38,1.31)))),2)</f>
        <v>4.13</v>
      </c>
      <c r="I297" s="27">
        <f>(Table1[[#This Row],[SALE PRICE]]-Table1[[#This Row],[COST PRICE]])/Table1[[#This Row],[SALE PRICE]]</f>
        <v>0.27602905569007258</v>
      </c>
      <c r="J297" s="27" t="str">
        <f>IF(Table1[[#This Row],[MARGIN]]&lt;25%, "REVIEW", "OK")</f>
        <v>OK</v>
      </c>
    </row>
    <row r="298" spans="1:10" ht="15.6" x14ac:dyDescent="0.3">
      <c r="A298" s="17" t="s">
        <v>524</v>
      </c>
      <c r="B298" s="12" t="s">
        <v>1709</v>
      </c>
      <c r="C298" s="12" t="s">
        <v>1426</v>
      </c>
      <c r="D298" s="10"/>
      <c r="E298" s="10"/>
      <c r="F298" s="12"/>
      <c r="G298" s="46">
        <v>13.99</v>
      </c>
      <c r="H298" s="46" cm="1">
        <f t="array" ref="H298">ROUND(G298*IF(OR(MID(A298,5,3)={"BFF","PRK","FPL","LMB","FFI","MET","RIC","FLR","SUG","OIL","DRK","JCE","FEG"}),1.21,IF(OR(MID(A298,5,3)={"FVG","FFR"}),1.33,IF(OR(MID(A298,5,3)={"FBT","FCH","FMK","FYG","MLK","ICE","FRV","FPO","FRF","FCC","BRD"}),1.28,IF(OR(MID(A298,5,3)={"BIS","CRP","HRB","TUR","IND","HYG"}),1.38,1.31)))),2)</f>
        <v>19.309999999999999</v>
      </c>
      <c r="I298" s="29">
        <f>(Table1[[#This Row],[SALE PRICE]]-Table1[[#This Row],[COST PRICE]])/Table1[[#This Row],[SALE PRICE]]</f>
        <v>0.2755049197307094</v>
      </c>
      <c r="J298" s="26" t="str">
        <f>IF(Table1[[#This Row],[MARGIN]]&lt;25%, "REVIEW", "OK")</f>
        <v>OK</v>
      </c>
    </row>
    <row r="299" spans="1:10" ht="15.6" x14ac:dyDescent="0.3">
      <c r="A299" s="18" t="s">
        <v>525</v>
      </c>
      <c r="B299" s="13" t="s">
        <v>1710</v>
      </c>
      <c r="C299" s="13" t="s">
        <v>1430</v>
      </c>
      <c r="D299" s="11"/>
      <c r="E299" s="11"/>
      <c r="F299" s="13"/>
      <c r="G299" s="47">
        <v>3.99</v>
      </c>
      <c r="H299" s="47" cm="1">
        <f t="array" ref="H299">ROUND(G299*IF(OR(MID(A299,5,3)={"BFF","PRK","FPL","LMB","FFI","MET","RIC","FLR","SUG","OIL","DRK","JCE","FEG"}),1.21,IF(OR(MID(A299,5,3)={"FVG","FFR"}),1.33,IF(OR(MID(A299,5,3)={"FBT","FCH","FMK","FYG","MLK","ICE","FRV","FPO","FRF","FCC","BRD"}),1.28,IF(OR(MID(A299,5,3)={"BIS","CRP","HRB","TUR","IND","HYG"}),1.38,1.31)))),2)</f>
        <v>5.51</v>
      </c>
      <c r="I299" s="27">
        <f>(Table1[[#This Row],[SALE PRICE]]-Table1[[#This Row],[COST PRICE]])/Table1[[#This Row],[SALE PRICE]]</f>
        <v>0.27586206896551718</v>
      </c>
      <c r="J299" s="27" t="str">
        <f>IF(Table1[[#This Row],[MARGIN]]&lt;25%, "REVIEW", "OK")</f>
        <v>OK</v>
      </c>
    </row>
    <row r="300" spans="1:10" ht="15.6" x14ac:dyDescent="0.3">
      <c r="A300" s="17" t="s">
        <v>526</v>
      </c>
      <c r="B300" s="12" t="s">
        <v>1711</v>
      </c>
      <c r="C300" s="12" t="s">
        <v>1426</v>
      </c>
      <c r="D300" s="10"/>
      <c r="E300" s="10"/>
      <c r="F300" s="12"/>
      <c r="G300" s="46">
        <v>18.989999999999998</v>
      </c>
      <c r="H300" s="46" cm="1">
        <f t="array" ref="H300">ROUND(G300*IF(OR(MID(A300,5,3)={"BFF","PRK","FPL","LMB","FFI","MET","RIC","FLR","SUG","OIL","DRK","JCE","FEG"}),1.21,IF(OR(MID(A300,5,3)={"FVG","FFR"}),1.33,IF(OR(MID(A300,5,3)={"FBT","FCH","FMK","FYG","MLK","ICE","FRV","FPO","FRF","FCC","BRD"}),1.28,IF(OR(MID(A300,5,3)={"BIS","CRP","HRB","TUR","IND","HYG"}),1.38,1.31)))),2)</f>
        <v>26.21</v>
      </c>
      <c r="I300" s="29">
        <f>(Table1[[#This Row],[SALE PRICE]]-Table1[[#This Row],[COST PRICE]])/Table1[[#This Row],[SALE PRICE]]</f>
        <v>0.27546737886302947</v>
      </c>
      <c r="J300" s="26" t="str">
        <f>IF(Table1[[#This Row],[MARGIN]]&lt;25%, "REVIEW", "OK")</f>
        <v>OK</v>
      </c>
    </row>
    <row r="301" spans="1:10" ht="15.6" x14ac:dyDescent="0.3">
      <c r="A301" s="18" t="s">
        <v>527</v>
      </c>
      <c r="B301" s="13" t="s">
        <v>1712</v>
      </c>
      <c r="C301" s="13" t="s">
        <v>1430</v>
      </c>
      <c r="D301" s="11"/>
      <c r="E301" s="11"/>
      <c r="F301" s="13"/>
      <c r="G301" s="47">
        <v>3.49</v>
      </c>
      <c r="H301" s="47" cm="1">
        <f t="array" ref="H301">ROUND(G301*IF(OR(MID(A301,5,3)={"BFF","PRK","FPL","LMB","FFI","MET","RIC","FLR","SUG","OIL","DRK","JCE","FEG"}),1.21,IF(OR(MID(A301,5,3)={"FVG","FFR"}),1.33,IF(OR(MID(A301,5,3)={"FBT","FCH","FMK","FYG","MLK","ICE","FRV","FPO","FRF","FCC","BRD"}),1.28,IF(OR(MID(A301,5,3)={"BIS","CRP","HRB","TUR","IND","HYG"}),1.38,1.31)))),2)</f>
        <v>4.82</v>
      </c>
      <c r="I301" s="27">
        <f>(Table1[[#This Row],[SALE PRICE]]-Table1[[#This Row],[COST PRICE]])/Table1[[#This Row],[SALE PRICE]]</f>
        <v>0.27593360995850624</v>
      </c>
      <c r="J301" s="27" t="str">
        <f>IF(Table1[[#This Row],[MARGIN]]&lt;25%, "REVIEW", "OK")</f>
        <v>OK</v>
      </c>
    </row>
    <row r="302" spans="1:10" ht="15.6" x14ac:dyDescent="0.3">
      <c r="A302" s="17" t="s">
        <v>528</v>
      </c>
      <c r="B302" s="12" t="s">
        <v>1713</v>
      </c>
      <c r="C302" s="12" t="s">
        <v>1426</v>
      </c>
      <c r="D302" s="10"/>
      <c r="E302" s="10"/>
      <c r="F302" s="12"/>
      <c r="G302" s="46">
        <v>15.99</v>
      </c>
      <c r="H302" s="46" cm="1">
        <f t="array" ref="H302">ROUND(G302*IF(OR(MID(A302,5,3)={"BFF","PRK","FPL","LMB","FFI","MET","RIC","FLR","SUG","OIL","DRK","JCE","FEG"}),1.21,IF(OR(MID(A302,5,3)={"FVG","FFR"}),1.33,IF(OR(MID(A302,5,3)={"FBT","FCH","FMK","FYG","MLK","ICE","FRV","FPO","FRF","FCC","BRD"}),1.28,IF(OR(MID(A302,5,3)={"BIS","CRP","HRB","TUR","IND","HYG"}),1.38,1.31)))),2)</f>
        <v>22.07</v>
      </c>
      <c r="I302" s="29">
        <f>(Table1[[#This Row],[SALE PRICE]]-Table1[[#This Row],[COST PRICE]])/Table1[[#This Row],[SALE PRICE]]</f>
        <v>0.27548708654281828</v>
      </c>
      <c r="J302" s="26" t="str">
        <f>IF(Table1[[#This Row],[MARGIN]]&lt;25%, "REVIEW", "OK")</f>
        <v>OK</v>
      </c>
    </row>
    <row r="303" spans="1:10" ht="15.6" x14ac:dyDescent="0.3">
      <c r="A303" s="18" t="s">
        <v>529</v>
      </c>
      <c r="B303" s="13" t="s">
        <v>1714</v>
      </c>
      <c r="C303" s="13" t="s">
        <v>1430</v>
      </c>
      <c r="D303" s="11"/>
      <c r="E303" s="11"/>
      <c r="F303" s="13"/>
      <c r="G303" s="47">
        <v>2.99</v>
      </c>
      <c r="H303" s="47" cm="1">
        <f t="array" ref="H303">ROUND(G303*IF(OR(MID(A303,5,3)={"BFF","PRK","FPL","LMB","FFI","MET","RIC","FLR","SUG","OIL","DRK","JCE","FEG"}),1.21,IF(OR(MID(A303,5,3)={"FVG","FFR"}),1.33,IF(OR(MID(A303,5,3)={"FBT","FCH","FMK","FYG","MLK","ICE","FRV","FPO","FRF","FCC","BRD"}),1.28,IF(OR(MID(A303,5,3)={"BIS","CRP","HRB","TUR","IND","HYG"}),1.38,1.31)))),2)</f>
        <v>4.13</v>
      </c>
      <c r="I303" s="27">
        <f>(Table1[[#This Row],[SALE PRICE]]-Table1[[#This Row],[COST PRICE]])/Table1[[#This Row],[SALE PRICE]]</f>
        <v>0.27602905569007258</v>
      </c>
      <c r="J303" s="27" t="str">
        <f>IF(Table1[[#This Row],[MARGIN]]&lt;25%, "REVIEW", "OK")</f>
        <v>OK</v>
      </c>
    </row>
    <row r="304" spans="1:10" ht="15.6" x14ac:dyDescent="0.3">
      <c r="A304" s="17" t="s">
        <v>530</v>
      </c>
      <c r="B304" s="12" t="s">
        <v>1715</v>
      </c>
      <c r="C304" s="12" t="s">
        <v>1426</v>
      </c>
      <c r="D304" s="10"/>
      <c r="E304" s="10"/>
      <c r="F304" s="12"/>
      <c r="G304" s="46">
        <v>15.99</v>
      </c>
      <c r="H304" s="46" cm="1">
        <f t="array" ref="H304">ROUND(G304*IF(OR(MID(A304,5,3)={"BFF","PRK","FPL","LMB","FFI","MET","RIC","FLR","SUG","OIL","DRK","JCE","FEG"}),1.21,IF(OR(MID(A304,5,3)={"FVG","FFR"}),1.33,IF(OR(MID(A304,5,3)={"FBT","FCH","FMK","FYG","MLK","ICE","FRV","FPO","FRF","FCC","BRD"}),1.28,IF(OR(MID(A304,5,3)={"BIS","CRP","HRB","TUR","IND","HYG"}),1.38,1.31)))),2)</f>
        <v>22.07</v>
      </c>
      <c r="I304" s="29">
        <f>(Table1[[#This Row],[SALE PRICE]]-Table1[[#This Row],[COST PRICE]])/Table1[[#This Row],[SALE PRICE]]</f>
        <v>0.27548708654281828</v>
      </c>
      <c r="J304" s="26" t="str">
        <f>IF(Table1[[#This Row],[MARGIN]]&lt;25%, "REVIEW", "OK")</f>
        <v>OK</v>
      </c>
    </row>
    <row r="305" spans="1:10" ht="15.6" x14ac:dyDescent="0.3">
      <c r="A305" s="18" t="s">
        <v>531</v>
      </c>
      <c r="B305" s="13" t="s">
        <v>1716</v>
      </c>
      <c r="C305" s="13" t="s">
        <v>1430</v>
      </c>
      <c r="D305" s="11"/>
      <c r="E305" s="11"/>
      <c r="F305" s="13"/>
      <c r="G305" s="47">
        <v>2.99</v>
      </c>
      <c r="H305" s="47" cm="1">
        <f t="array" ref="H305">ROUND(G305*IF(OR(MID(A305,5,3)={"BFF","PRK","FPL","LMB","FFI","MET","RIC","FLR","SUG","OIL","DRK","JCE","FEG"}),1.21,IF(OR(MID(A305,5,3)={"FVG","FFR"}),1.33,IF(OR(MID(A305,5,3)={"FBT","FCH","FMK","FYG","MLK","ICE","FRV","FPO","FRF","FCC","BRD"}),1.28,IF(OR(MID(A305,5,3)={"BIS","CRP","HRB","TUR","IND","HYG"}),1.38,1.31)))),2)</f>
        <v>4.13</v>
      </c>
      <c r="I305" s="27">
        <f>(Table1[[#This Row],[SALE PRICE]]-Table1[[#This Row],[COST PRICE]])/Table1[[#This Row],[SALE PRICE]]</f>
        <v>0.27602905569007258</v>
      </c>
      <c r="J305" s="27" t="str">
        <f>IF(Table1[[#This Row],[MARGIN]]&lt;25%, "REVIEW", "OK")</f>
        <v>OK</v>
      </c>
    </row>
    <row r="306" spans="1:10" ht="15.6" x14ac:dyDescent="0.3">
      <c r="A306" s="17" t="s">
        <v>532</v>
      </c>
      <c r="B306" s="12" t="s">
        <v>1717</v>
      </c>
      <c r="C306" s="12" t="s">
        <v>1426</v>
      </c>
      <c r="D306" s="10"/>
      <c r="E306" s="10"/>
      <c r="F306" s="12"/>
      <c r="G306" s="46">
        <v>14.99</v>
      </c>
      <c r="H306" s="46" cm="1">
        <f t="array" ref="H306">ROUND(G306*IF(OR(MID(A306,5,3)={"BFF","PRK","FPL","LMB","FFI","MET","RIC","FLR","SUG","OIL","DRK","JCE","FEG"}),1.21,IF(OR(MID(A306,5,3)={"FVG","FFR"}),1.33,IF(OR(MID(A306,5,3)={"FBT","FCH","FMK","FYG","MLK","ICE","FRV","FPO","FRF","FCC","BRD"}),1.28,IF(OR(MID(A306,5,3)={"BIS","CRP","HRB","TUR","IND","HYG"}),1.38,1.31)))),2)</f>
        <v>20.69</v>
      </c>
      <c r="I306" s="29">
        <f>(Table1[[#This Row],[SALE PRICE]]-Table1[[#This Row],[COST PRICE]])/Table1[[#This Row],[SALE PRICE]]</f>
        <v>0.27549540840985987</v>
      </c>
      <c r="J306" s="26" t="str">
        <f>IF(Table1[[#This Row],[MARGIN]]&lt;25%, "REVIEW", "OK")</f>
        <v>OK</v>
      </c>
    </row>
    <row r="307" spans="1:10" ht="15.6" x14ac:dyDescent="0.3">
      <c r="A307" s="18" t="s">
        <v>533</v>
      </c>
      <c r="B307" s="13" t="s">
        <v>1718</v>
      </c>
      <c r="C307" s="13" t="s">
        <v>1430</v>
      </c>
      <c r="D307" s="11"/>
      <c r="E307" s="11"/>
      <c r="F307" s="13"/>
      <c r="G307" s="47">
        <v>3.99</v>
      </c>
      <c r="H307" s="47" cm="1">
        <f t="array" ref="H307">ROUND(G307*IF(OR(MID(A307,5,3)={"BFF","PRK","FPL","LMB","FFI","MET","RIC","FLR","SUG","OIL","DRK","JCE","FEG"}),1.21,IF(OR(MID(A307,5,3)={"FVG","FFR"}),1.33,IF(OR(MID(A307,5,3)={"FBT","FCH","FMK","FYG","MLK","ICE","FRV","FPO","FRF","FCC","BRD"}),1.28,IF(OR(MID(A307,5,3)={"BIS","CRP","HRB","TUR","IND","HYG"}),1.38,1.31)))),2)</f>
        <v>5.51</v>
      </c>
      <c r="I307" s="27">
        <f>(Table1[[#This Row],[SALE PRICE]]-Table1[[#This Row],[COST PRICE]])/Table1[[#This Row],[SALE PRICE]]</f>
        <v>0.27586206896551718</v>
      </c>
      <c r="J307" s="27" t="str">
        <f>IF(Table1[[#This Row],[MARGIN]]&lt;25%, "REVIEW", "OK")</f>
        <v>OK</v>
      </c>
    </row>
    <row r="308" spans="1:10" ht="15.6" x14ac:dyDescent="0.3">
      <c r="A308" s="17" t="s">
        <v>534</v>
      </c>
      <c r="B308" s="12" t="s">
        <v>1719</v>
      </c>
      <c r="C308" s="12" t="s">
        <v>1426</v>
      </c>
      <c r="D308" s="10"/>
      <c r="E308" s="10"/>
      <c r="F308" s="12"/>
      <c r="G308" s="46">
        <v>18.489999999999998</v>
      </c>
      <c r="H308" s="46" cm="1">
        <f t="array" ref="H308">ROUND(G308*IF(OR(MID(A308,5,3)={"BFF","PRK","FPL","LMB","FFI","MET","RIC","FLR","SUG","OIL","DRK","JCE","FEG"}),1.21,IF(OR(MID(A308,5,3)={"FVG","FFR"}),1.33,IF(OR(MID(A308,5,3)={"FBT","FCH","FMK","FYG","MLK","ICE","FRV","FPO","FRF","FCC","BRD"}),1.28,IF(OR(MID(A308,5,3)={"BIS","CRP","HRB","TUR","IND","HYG"}),1.38,1.31)))),2)</f>
        <v>25.52</v>
      </c>
      <c r="I308" s="29">
        <f>(Table1[[#This Row],[SALE PRICE]]-Table1[[#This Row],[COST PRICE]])/Table1[[#This Row],[SALE PRICE]]</f>
        <v>0.27547021943573674</v>
      </c>
      <c r="J308" s="26" t="str">
        <f>IF(Table1[[#This Row],[MARGIN]]&lt;25%, "REVIEW", "OK")</f>
        <v>OK</v>
      </c>
    </row>
    <row r="309" spans="1:10" ht="15.6" x14ac:dyDescent="0.3">
      <c r="A309" s="18" t="s">
        <v>535</v>
      </c>
      <c r="B309" s="13" t="s">
        <v>1720</v>
      </c>
      <c r="C309" s="13" t="s">
        <v>1430</v>
      </c>
      <c r="D309" s="11"/>
      <c r="E309" s="11"/>
      <c r="F309" s="13"/>
      <c r="G309" s="47">
        <v>2.99</v>
      </c>
      <c r="H309" s="47" cm="1">
        <f t="array" ref="H309">ROUND(G309*IF(OR(MID(A309,5,3)={"BFF","PRK","FPL","LMB","FFI","MET","RIC","FLR","SUG","OIL","DRK","JCE","FEG"}),1.21,IF(OR(MID(A309,5,3)={"FVG","FFR"}),1.33,IF(OR(MID(A309,5,3)={"FBT","FCH","FMK","FYG","MLK","ICE","FRV","FPO","FRF","FCC","BRD"}),1.28,IF(OR(MID(A309,5,3)={"BIS","CRP","HRB","TUR","IND","HYG"}),1.38,1.31)))),2)</f>
        <v>4.13</v>
      </c>
      <c r="I309" s="27">
        <f>(Table1[[#This Row],[SALE PRICE]]-Table1[[#This Row],[COST PRICE]])/Table1[[#This Row],[SALE PRICE]]</f>
        <v>0.27602905569007258</v>
      </c>
      <c r="J309" s="27" t="str">
        <f>IF(Table1[[#This Row],[MARGIN]]&lt;25%, "REVIEW", "OK")</f>
        <v>OK</v>
      </c>
    </row>
    <row r="310" spans="1:10" ht="15.6" x14ac:dyDescent="0.3">
      <c r="A310" s="17" t="s">
        <v>536</v>
      </c>
      <c r="B310" s="12" t="s">
        <v>1721</v>
      </c>
      <c r="C310" s="12" t="s">
        <v>1426</v>
      </c>
      <c r="D310" s="10"/>
      <c r="E310" s="10"/>
      <c r="F310" s="12"/>
      <c r="G310" s="46">
        <v>10.49</v>
      </c>
      <c r="H310" s="46" cm="1">
        <f t="array" ref="H310">ROUND(G310*IF(OR(MID(A310,5,3)={"BFF","PRK","FPL","LMB","FFI","MET","RIC","FLR","SUG","OIL","DRK","JCE","FEG"}),1.21,IF(OR(MID(A310,5,3)={"FVG","FFR"}),1.33,IF(OR(MID(A310,5,3)={"FBT","FCH","FMK","FYG","MLK","ICE","FRV","FPO","FRF","FCC","BRD"}),1.28,IF(OR(MID(A310,5,3)={"BIS","CRP","HRB","TUR","IND","HYG"}),1.38,1.31)))),2)</f>
        <v>14.48</v>
      </c>
      <c r="I310" s="29">
        <f>(Table1[[#This Row],[SALE PRICE]]-Table1[[#This Row],[COST PRICE]])/Table1[[#This Row],[SALE PRICE]]</f>
        <v>0.27555248618784534</v>
      </c>
      <c r="J310" s="26" t="str">
        <f>IF(Table1[[#This Row],[MARGIN]]&lt;25%, "REVIEW", "OK")</f>
        <v>OK</v>
      </c>
    </row>
    <row r="311" spans="1:10" ht="15.6" x14ac:dyDescent="0.3">
      <c r="A311" s="18" t="s">
        <v>537</v>
      </c>
      <c r="B311" s="13" t="s">
        <v>1722</v>
      </c>
      <c r="C311" s="13" t="s">
        <v>1430</v>
      </c>
      <c r="D311" s="11"/>
      <c r="E311" s="11"/>
      <c r="F311" s="13"/>
      <c r="G311" s="47">
        <v>5.99</v>
      </c>
      <c r="H311" s="47" cm="1">
        <f t="array" ref="H311">ROUND(G311*IF(OR(MID(A311,5,3)={"BFF","PRK","FPL","LMB","FFI","MET","RIC","FLR","SUG","OIL","DRK","JCE","FEG"}),1.21,IF(OR(MID(A311,5,3)={"FVG","FFR"}),1.33,IF(OR(MID(A311,5,3)={"FBT","FCH","FMK","FYG","MLK","ICE","FRV","FPO","FRF","FCC","BRD"}),1.28,IF(OR(MID(A311,5,3)={"BIS","CRP","HRB","TUR","IND","HYG"}),1.38,1.31)))),2)</f>
        <v>8.27</v>
      </c>
      <c r="I311" s="27">
        <f>(Table1[[#This Row],[SALE PRICE]]-Table1[[#This Row],[COST PRICE]])/Table1[[#This Row],[SALE PRICE]]</f>
        <v>0.27569528415961297</v>
      </c>
      <c r="J311" s="27" t="str">
        <f>IF(Table1[[#This Row],[MARGIN]]&lt;25%, "REVIEW", "OK")</f>
        <v>OK</v>
      </c>
    </row>
    <row r="312" spans="1:10" ht="15.6" x14ac:dyDescent="0.3">
      <c r="A312" s="17" t="s">
        <v>538</v>
      </c>
      <c r="B312" s="12" t="s">
        <v>1723</v>
      </c>
      <c r="C312" s="12" t="s">
        <v>1426</v>
      </c>
      <c r="D312" s="10"/>
      <c r="E312" s="10"/>
      <c r="F312" s="12"/>
      <c r="G312" s="46">
        <v>35.89</v>
      </c>
      <c r="H312" s="46" cm="1">
        <f t="array" ref="H312">ROUND(G312*IF(OR(MID(A312,5,3)={"BFF","PRK","FPL","LMB","FFI","MET","RIC","FLR","SUG","OIL","DRK","JCE","FEG"}),1.21,IF(OR(MID(A312,5,3)={"FVG","FFR"}),1.33,IF(OR(MID(A312,5,3)={"FBT","FCH","FMK","FYG","MLK","ICE","FRV","FPO","FRF","FCC","BRD"}),1.28,IF(OR(MID(A312,5,3)={"BIS","CRP","HRB","TUR","IND","HYG"}),1.38,1.31)))),2)</f>
        <v>49.53</v>
      </c>
      <c r="I312" s="29">
        <f>(Table1[[#This Row],[SALE PRICE]]-Table1[[#This Row],[COST PRICE]])/Table1[[#This Row],[SALE PRICE]]</f>
        <v>0.27538865334140927</v>
      </c>
      <c r="J312" s="26" t="str">
        <f>IF(Table1[[#This Row],[MARGIN]]&lt;25%, "REVIEW", "OK")</f>
        <v>OK</v>
      </c>
    </row>
    <row r="313" spans="1:10" ht="31.2" x14ac:dyDescent="0.3">
      <c r="A313" s="18" t="s">
        <v>539</v>
      </c>
      <c r="B313" s="13" t="s">
        <v>1724</v>
      </c>
      <c r="C313" s="13" t="s">
        <v>1430</v>
      </c>
      <c r="D313" s="11"/>
      <c r="E313" s="11"/>
      <c r="F313" s="13"/>
      <c r="G313" s="47">
        <v>13.99</v>
      </c>
      <c r="H313" s="47" cm="1">
        <f t="array" ref="H313">ROUND(G313*IF(OR(MID(A313,5,3)={"BFF","PRK","FPL","LMB","FFI","MET","RIC","FLR","SUG","OIL","DRK","JCE","FEG"}),1.21,IF(OR(MID(A313,5,3)={"FVG","FFR"}),1.33,IF(OR(MID(A313,5,3)={"FBT","FCH","FMK","FYG","MLK","ICE","FRV","FPO","FRF","FCC","BRD"}),1.28,IF(OR(MID(A313,5,3)={"BIS","CRP","HRB","TUR","IND","HYG"}),1.38,1.31)))),2)</f>
        <v>19.309999999999999</v>
      </c>
      <c r="I313" s="27">
        <f>(Table1[[#This Row],[SALE PRICE]]-Table1[[#This Row],[COST PRICE]])/Table1[[#This Row],[SALE PRICE]]</f>
        <v>0.2755049197307094</v>
      </c>
      <c r="J313" s="27" t="str">
        <f>IF(Table1[[#This Row],[MARGIN]]&lt;25%, "REVIEW", "OK")</f>
        <v>OK</v>
      </c>
    </row>
    <row r="314" spans="1:10" ht="31.2" x14ac:dyDescent="0.3">
      <c r="A314" s="17" t="s">
        <v>540</v>
      </c>
      <c r="B314" s="12" t="s">
        <v>1725</v>
      </c>
      <c r="C314" s="12" t="s">
        <v>1426</v>
      </c>
      <c r="D314" s="10"/>
      <c r="E314" s="10"/>
      <c r="F314" s="12"/>
      <c r="G314" s="46">
        <v>75.489999999999995</v>
      </c>
      <c r="H314" s="46" cm="1">
        <f t="array" ref="H314">ROUND(G314*IF(OR(MID(A314,5,3)={"BFF","PRK","FPL","LMB","FFI","MET","RIC","FLR","SUG","OIL","DRK","JCE","FEG"}),1.21,IF(OR(MID(A314,5,3)={"FVG","FFR"}),1.33,IF(OR(MID(A314,5,3)={"FBT","FCH","FMK","FYG","MLK","ICE","FRV","FPO","FRF","FCC","BRD"}),1.28,IF(OR(MID(A314,5,3)={"BIS","CRP","HRB","TUR","IND","HYG"}),1.38,1.31)))),2)</f>
        <v>104.18</v>
      </c>
      <c r="I314" s="29">
        <f>(Table1[[#This Row],[SALE PRICE]]-Table1[[#This Row],[COST PRICE]])/Table1[[#This Row],[SALE PRICE]]</f>
        <v>0.27538875023996939</v>
      </c>
      <c r="J314" s="26" t="str">
        <f>IF(Table1[[#This Row],[MARGIN]]&lt;25%, "REVIEW", "OK")</f>
        <v>OK</v>
      </c>
    </row>
    <row r="315" spans="1:10" ht="15.6" x14ac:dyDescent="0.3">
      <c r="A315" s="18" t="s">
        <v>541</v>
      </c>
      <c r="B315" s="13" t="s">
        <v>1726</v>
      </c>
      <c r="C315" s="13" t="s">
        <v>1430</v>
      </c>
      <c r="D315" s="11"/>
      <c r="E315" s="11"/>
      <c r="F315" s="13"/>
      <c r="G315" s="47">
        <v>13.99</v>
      </c>
      <c r="H315" s="47" cm="1">
        <f t="array" ref="H315">ROUND(G315*IF(OR(MID(A315,5,3)={"BFF","PRK","FPL","LMB","FFI","MET","RIC","FLR","SUG","OIL","DRK","JCE","FEG"}),1.21,IF(OR(MID(A315,5,3)={"FVG","FFR"}),1.33,IF(OR(MID(A315,5,3)={"FBT","FCH","FMK","FYG","MLK","ICE","FRV","FPO","FRF","FCC","BRD"}),1.28,IF(OR(MID(A315,5,3)={"BIS","CRP","HRB","TUR","IND","HYG"}),1.38,1.31)))),2)</f>
        <v>19.309999999999999</v>
      </c>
      <c r="I315" s="27">
        <f>(Table1[[#This Row],[SALE PRICE]]-Table1[[#This Row],[COST PRICE]])/Table1[[#This Row],[SALE PRICE]]</f>
        <v>0.2755049197307094</v>
      </c>
      <c r="J315" s="27" t="str">
        <f>IF(Table1[[#This Row],[MARGIN]]&lt;25%, "REVIEW", "OK")</f>
        <v>OK</v>
      </c>
    </row>
    <row r="316" spans="1:10" ht="15.6" x14ac:dyDescent="0.3">
      <c r="A316" s="17" t="s">
        <v>542</v>
      </c>
      <c r="B316" s="12" t="s">
        <v>1727</v>
      </c>
      <c r="C316" s="12" t="s">
        <v>1426</v>
      </c>
      <c r="D316" s="10"/>
      <c r="E316" s="10"/>
      <c r="F316" s="12"/>
      <c r="G316" s="46">
        <v>75.489999999999995</v>
      </c>
      <c r="H316" s="46" cm="1">
        <f t="array" ref="H316">ROUND(G316*IF(OR(MID(A316,5,3)={"BFF","PRK","FPL","LMB","FFI","MET","RIC","FLR","SUG","OIL","DRK","JCE","FEG"}),1.21,IF(OR(MID(A316,5,3)={"FVG","FFR"}),1.33,IF(OR(MID(A316,5,3)={"FBT","FCH","FMK","FYG","MLK","ICE","FRV","FPO","FRF","FCC","BRD"}),1.28,IF(OR(MID(A316,5,3)={"BIS","CRP","HRB","TUR","IND","HYG"}),1.38,1.31)))),2)</f>
        <v>104.18</v>
      </c>
      <c r="I316" s="29">
        <f>(Table1[[#This Row],[SALE PRICE]]-Table1[[#This Row],[COST PRICE]])/Table1[[#This Row],[SALE PRICE]]</f>
        <v>0.27538875023996939</v>
      </c>
      <c r="J316" s="26" t="str">
        <f>IF(Table1[[#This Row],[MARGIN]]&lt;25%, "REVIEW", "OK")</f>
        <v>OK</v>
      </c>
    </row>
    <row r="317" spans="1:10" ht="15.6" x14ac:dyDescent="0.3">
      <c r="A317" s="18" t="s">
        <v>543</v>
      </c>
      <c r="B317" s="13" t="s">
        <v>1728</v>
      </c>
      <c r="C317" s="13" t="s">
        <v>1430</v>
      </c>
      <c r="D317" s="11"/>
      <c r="E317" s="11"/>
      <c r="F317" s="13"/>
      <c r="G317" s="47">
        <v>13.99</v>
      </c>
      <c r="H317" s="47" cm="1">
        <f t="array" ref="H317">ROUND(G317*IF(OR(MID(A317,5,3)={"BFF","PRK","FPL","LMB","FFI","MET","RIC","FLR","SUG","OIL","DRK","JCE","FEG"}),1.21,IF(OR(MID(A317,5,3)={"FVG","FFR"}),1.33,IF(OR(MID(A317,5,3)={"FBT","FCH","FMK","FYG","MLK","ICE","FRV","FPO","FRF","FCC","BRD"}),1.28,IF(OR(MID(A317,5,3)={"BIS","CRP","HRB","TUR","IND","HYG"}),1.38,1.31)))),2)</f>
        <v>19.309999999999999</v>
      </c>
      <c r="I317" s="27">
        <f>(Table1[[#This Row],[SALE PRICE]]-Table1[[#This Row],[COST PRICE]])/Table1[[#This Row],[SALE PRICE]]</f>
        <v>0.2755049197307094</v>
      </c>
      <c r="J317" s="27" t="str">
        <f>IF(Table1[[#This Row],[MARGIN]]&lt;25%, "REVIEW", "OK")</f>
        <v>OK</v>
      </c>
    </row>
    <row r="318" spans="1:10" ht="15.6" x14ac:dyDescent="0.3">
      <c r="A318" s="17" t="s">
        <v>544</v>
      </c>
      <c r="B318" s="12" t="s">
        <v>1729</v>
      </c>
      <c r="C318" s="12" t="s">
        <v>1426</v>
      </c>
      <c r="D318" s="10"/>
      <c r="E318" s="10"/>
      <c r="F318" s="12"/>
      <c r="G318" s="46">
        <v>75.489999999999995</v>
      </c>
      <c r="H318" s="46" cm="1">
        <f t="array" ref="H318">ROUND(G318*IF(OR(MID(A318,5,3)={"BFF","PRK","FPL","LMB","FFI","MET","RIC","FLR","SUG","OIL","DRK","JCE","FEG"}),1.21,IF(OR(MID(A318,5,3)={"FVG","FFR"}),1.33,IF(OR(MID(A318,5,3)={"FBT","FCH","FMK","FYG","MLK","ICE","FRV","FPO","FRF","FCC","BRD"}),1.28,IF(OR(MID(A318,5,3)={"BIS","CRP","HRB","TUR","IND","HYG"}),1.38,1.31)))),2)</f>
        <v>104.18</v>
      </c>
      <c r="I318" s="29">
        <f>(Table1[[#This Row],[SALE PRICE]]-Table1[[#This Row],[COST PRICE]])/Table1[[#This Row],[SALE PRICE]]</f>
        <v>0.27538875023996939</v>
      </c>
      <c r="J318" s="26" t="str">
        <f>IF(Table1[[#This Row],[MARGIN]]&lt;25%, "REVIEW", "OK")</f>
        <v>OK</v>
      </c>
    </row>
    <row r="319" spans="1:10" ht="15.6" x14ac:dyDescent="0.3">
      <c r="A319" s="18" t="s">
        <v>545</v>
      </c>
      <c r="B319" s="13" t="s">
        <v>1730</v>
      </c>
      <c r="C319" s="13" t="s">
        <v>1430</v>
      </c>
      <c r="D319" s="11"/>
      <c r="E319" s="11"/>
      <c r="F319" s="13"/>
      <c r="G319" s="47">
        <v>13.99</v>
      </c>
      <c r="H319" s="47" cm="1">
        <f t="array" ref="H319">ROUND(G319*IF(OR(MID(A319,5,3)={"BFF","PRK","FPL","LMB","FFI","MET","RIC","FLR","SUG","OIL","DRK","JCE","FEG"}),1.21,IF(OR(MID(A319,5,3)={"FVG","FFR"}),1.33,IF(OR(MID(A319,5,3)={"FBT","FCH","FMK","FYG","MLK","ICE","FRV","FPO","FRF","FCC","BRD"}),1.28,IF(OR(MID(A319,5,3)={"BIS","CRP","HRB","TUR","IND","HYG"}),1.38,1.31)))),2)</f>
        <v>19.309999999999999</v>
      </c>
      <c r="I319" s="27">
        <f>(Table1[[#This Row],[SALE PRICE]]-Table1[[#This Row],[COST PRICE]])/Table1[[#This Row],[SALE PRICE]]</f>
        <v>0.2755049197307094</v>
      </c>
      <c r="J319" s="27" t="str">
        <f>IF(Table1[[#This Row],[MARGIN]]&lt;25%, "REVIEW", "OK")</f>
        <v>OK</v>
      </c>
    </row>
    <row r="320" spans="1:10" ht="15.6" x14ac:dyDescent="0.3">
      <c r="A320" s="17" t="s">
        <v>546</v>
      </c>
      <c r="B320" s="12" t="s">
        <v>1731</v>
      </c>
      <c r="C320" s="12" t="s">
        <v>1426</v>
      </c>
      <c r="D320" s="10"/>
      <c r="E320" s="10"/>
      <c r="F320" s="12"/>
      <c r="G320" s="46">
        <v>75.489999999999995</v>
      </c>
      <c r="H320" s="46" cm="1">
        <f t="array" ref="H320">ROUND(G320*IF(OR(MID(A320,5,3)={"BFF","PRK","FPL","LMB","FFI","MET","RIC","FLR","SUG","OIL","DRK","JCE","FEG"}),1.21,IF(OR(MID(A320,5,3)={"FVG","FFR"}),1.33,IF(OR(MID(A320,5,3)={"FBT","FCH","FMK","FYG","MLK","ICE","FRV","FPO","FRF","FCC","BRD"}),1.28,IF(OR(MID(A320,5,3)={"BIS","CRP","HRB","TUR","IND","HYG"}),1.38,1.31)))),2)</f>
        <v>104.18</v>
      </c>
      <c r="I320" s="29">
        <f>(Table1[[#This Row],[SALE PRICE]]-Table1[[#This Row],[COST PRICE]])/Table1[[#This Row],[SALE PRICE]]</f>
        <v>0.27538875023996939</v>
      </c>
      <c r="J320" s="26" t="str">
        <f>IF(Table1[[#This Row],[MARGIN]]&lt;25%, "REVIEW", "OK")</f>
        <v>OK</v>
      </c>
    </row>
    <row r="321" spans="1:10" ht="15.6" x14ac:dyDescent="0.3">
      <c r="A321" s="18" t="s">
        <v>1078</v>
      </c>
      <c r="B321" s="13" t="s">
        <v>1732</v>
      </c>
      <c r="C321" s="13" t="s">
        <v>1430</v>
      </c>
      <c r="D321" s="11"/>
      <c r="E321" s="11"/>
      <c r="F321" s="13"/>
      <c r="G321" s="47">
        <v>12.89</v>
      </c>
      <c r="H321" s="47" cm="1">
        <f t="array" ref="H321">ROUND(G321*IF(OR(MID(A321,5,3)={"BFF","PRK","FPL","LMB","FFI","MET","RIC","FLR","SUG","OIL","DRK","JCE","FEG"}),1.21,IF(OR(MID(A321,5,3)={"FVG","FFR"}),1.33,IF(OR(MID(A321,5,3)={"FBT","FCH","FMK","FYG","MLK","ICE","FRV","FPO","FRF","FCC","BRD"}),1.28,IF(OR(MID(A321,5,3)={"BIS","CRP","HRB","TUR","IND","HYG"}),1.38,1.31)))),2)</f>
        <v>17.79</v>
      </c>
      <c r="I321" s="27">
        <f>(Table1[[#This Row],[SALE PRICE]]-Table1[[#This Row],[COST PRICE]])/Table1[[#This Row],[SALE PRICE]]</f>
        <v>0.27543563799887572</v>
      </c>
      <c r="J321" s="27" t="str">
        <f>IF(Table1[[#This Row],[MARGIN]]&lt;25%, "REVIEW", "OK")</f>
        <v>OK</v>
      </c>
    </row>
    <row r="322" spans="1:10" ht="15.6" x14ac:dyDescent="0.3">
      <c r="A322" s="17" t="s">
        <v>1423</v>
      </c>
      <c r="B322" s="12" t="s">
        <v>1733</v>
      </c>
      <c r="C322" s="12" t="s">
        <v>1426</v>
      </c>
      <c r="D322" s="10"/>
      <c r="E322" s="10"/>
      <c r="F322" s="12"/>
      <c r="G322" s="46">
        <v>76.989999999999995</v>
      </c>
      <c r="H322" s="46" cm="1">
        <f t="array" ref="H322">ROUND(G322*IF(OR(MID(A322,5,3)={"BFF","PRK","FPL","LMB","FFI","MET","RIC","FLR","SUG","OIL","DRK","JCE","FEG"}),1.21,IF(OR(MID(A322,5,3)={"FVG","FFR"}),1.33,IF(OR(MID(A322,5,3)={"FBT","FCH","FMK","FYG","MLK","ICE","FRV","FPO","FRF","FCC","BRD"}),1.28,IF(OR(MID(A322,5,3)={"BIS","CRP","HRB","TUR","IND","HYG"}),1.38,1.31)))),2)</f>
        <v>106.25</v>
      </c>
      <c r="I322" s="29">
        <f>(Table1[[#This Row],[SALE PRICE]]-Table1[[#This Row],[COST PRICE]])/Table1[[#This Row],[SALE PRICE]]</f>
        <v>0.27538823529411771</v>
      </c>
      <c r="J322" s="26" t="str">
        <f>IF(Table1[[#This Row],[MARGIN]]&lt;25%, "REVIEW", "OK")</f>
        <v>OK</v>
      </c>
    </row>
    <row r="323" spans="1:10" ht="15.6" x14ac:dyDescent="0.3">
      <c r="A323" s="18" t="s">
        <v>1424</v>
      </c>
      <c r="B323" s="13" t="s">
        <v>1734</v>
      </c>
      <c r="C323" s="13" t="s">
        <v>1430</v>
      </c>
      <c r="D323" s="11"/>
      <c r="E323" s="11"/>
      <c r="F323" s="13"/>
      <c r="G323" s="47">
        <v>13.99</v>
      </c>
      <c r="H323" s="47" cm="1">
        <f t="array" ref="H323">ROUND(G323*IF(OR(MID(A323,5,3)={"BFF","PRK","FPL","LMB","FFI","MET","RIC","FLR","SUG","OIL","DRK","JCE","FEG"}),1.21,IF(OR(MID(A323,5,3)={"FVG","FFR"}),1.33,IF(OR(MID(A323,5,3)={"FBT","FCH","FMK","FYG","MLK","ICE","FRV","FPO","FRF","FCC","BRD"}),1.28,IF(OR(MID(A323,5,3)={"BIS","CRP","HRB","TUR","IND","HYG"}),1.38,1.31)))),2)</f>
        <v>19.309999999999999</v>
      </c>
      <c r="I323" s="27">
        <f>(Table1[[#This Row],[SALE PRICE]]-Table1[[#This Row],[COST PRICE]])/Table1[[#This Row],[SALE PRICE]]</f>
        <v>0.2755049197307094</v>
      </c>
      <c r="J323" s="27" t="str">
        <f>IF(Table1[[#This Row],[MARGIN]]&lt;25%, "REVIEW", "OK")</f>
        <v>OK</v>
      </c>
    </row>
    <row r="324" spans="1:10" ht="15.6" x14ac:dyDescent="0.3">
      <c r="A324" s="17" t="s">
        <v>1583</v>
      </c>
      <c r="B324" s="12" t="s">
        <v>1735</v>
      </c>
      <c r="C324" s="12" t="s">
        <v>1426</v>
      </c>
      <c r="D324" s="10"/>
      <c r="E324" s="10"/>
      <c r="F324" s="12"/>
      <c r="G324" s="46">
        <v>75.489999999999995</v>
      </c>
      <c r="H324" s="46" cm="1">
        <f t="array" ref="H324">ROUND(G324*IF(OR(MID(A324,5,3)={"BFF","PRK","FPL","LMB","FFI","MET","RIC","FLR","SUG","OIL","DRK","JCE","FEG"}),1.21,IF(OR(MID(A324,5,3)={"FVG","FFR"}),1.33,IF(OR(MID(A324,5,3)={"FBT","FCH","FMK","FYG","MLK","ICE","FRV","FPO","FRF","FCC","BRD"}),1.28,IF(OR(MID(A324,5,3)={"BIS","CRP","HRB","TUR","IND","HYG"}),1.38,1.31)))),2)</f>
        <v>104.18</v>
      </c>
      <c r="I324" s="29">
        <f>(Table1[[#This Row],[SALE PRICE]]-Table1[[#This Row],[COST PRICE]])/Table1[[#This Row],[SALE PRICE]]</f>
        <v>0.27538875023996939</v>
      </c>
      <c r="J324" s="26" t="str">
        <f>IF(Table1[[#This Row],[MARGIN]]&lt;25%, "REVIEW", "OK")</f>
        <v>OK</v>
      </c>
    </row>
    <row r="325" spans="1:10" ht="15.6" x14ac:dyDescent="0.3">
      <c r="A325" s="18" t="s">
        <v>1584</v>
      </c>
      <c r="B325" s="13" t="s">
        <v>1736</v>
      </c>
      <c r="C325" s="13" t="s">
        <v>1430</v>
      </c>
      <c r="D325" s="11"/>
      <c r="E325" s="11"/>
      <c r="F325" s="13"/>
      <c r="G325" s="47">
        <v>19.989999999999998</v>
      </c>
      <c r="H325" s="47" cm="1">
        <f t="array" ref="H325">ROUND(G325*IF(OR(MID(A325,5,3)={"BFF","PRK","FPL","LMB","FFI","MET","RIC","FLR","SUG","OIL","DRK","JCE","FEG"}),1.21,IF(OR(MID(A325,5,3)={"FVG","FFR"}),1.33,IF(OR(MID(A325,5,3)={"FBT","FCH","FMK","FYG","MLK","ICE","FRV","FPO","FRF","FCC","BRD"}),1.28,IF(OR(MID(A325,5,3)={"BIS","CRP","HRB","TUR","IND","HYG"}),1.38,1.31)))),2)</f>
        <v>27.59</v>
      </c>
      <c r="I325" s="27">
        <f>(Table1[[#This Row],[SALE PRICE]]-Table1[[#This Row],[COST PRICE]])/Table1[[#This Row],[SALE PRICE]]</f>
        <v>0.27546212395795583</v>
      </c>
      <c r="J325" s="27" t="str">
        <f>IF(Table1[[#This Row],[MARGIN]]&lt;25%, "REVIEW", "OK")</f>
        <v>OK</v>
      </c>
    </row>
    <row r="326" spans="1:10" ht="15.6" x14ac:dyDescent="0.3">
      <c r="A326" s="17" t="s">
        <v>1585</v>
      </c>
      <c r="B326" s="12" t="s">
        <v>1737</v>
      </c>
      <c r="C326" s="12" t="s">
        <v>1426</v>
      </c>
      <c r="D326" s="10"/>
      <c r="E326" s="10"/>
      <c r="F326" s="12"/>
      <c r="G326" s="46">
        <v>119.89</v>
      </c>
      <c r="H326" s="46" cm="1">
        <f t="array" ref="H326">ROUND(G326*IF(OR(MID(A326,5,3)={"BFF","PRK","FPL","LMB","FFI","MET","RIC","FLR","SUG","OIL","DRK","JCE","FEG"}),1.21,IF(OR(MID(A326,5,3)={"FVG","FFR"}),1.33,IF(OR(MID(A326,5,3)={"FBT","FCH","FMK","FYG","MLK","ICE","FRV","FPO","FRF","FCC","BRD"}),1.28,IF(OR(MID(A326,5,3)={"BIS","CRP","HRB","TUR","IND","HYG"}),1.38,1.31)))),2)</f>
        <v>165.45</v>
      </c>
      <c r="I326" s="29">
        <f>(Table1[[#This Row],[SALE PRICE]]-Table1[[#This Row],[COST PRICE]])/Table1[[#This Row],[SALE PRICE]]</f>
        <v>0.27537020247809002</v>
      </c>
      <c r="J326" s="26" t="str">
        <f>IF(Table1[[#This Row],[MARGIN]]&lt;25%, "REVIEW", "OK")</f>
        <v>OK</v>
      </c>
    </row>
    <row r="327" spans="1:10" ht="15.6" x14ac:dyDescent="0.3">
      <c r="A327" s="18" t="s">
        <v>1586</v>
      </c>
      <c r="B327" s="13" t="s">
        <v>1738</v>
      </c>
      <c r="C327" s="13" t="s">
        <v>1430</v>
      </c>
      <c r="D327" s="11"/>
      <c r="E327" s="11"/>
      <c r="F327" s="13"/>
      <c r="G327" s="47">
        <v>17.989999999999998</v>
      </c>
      <c r="H327" s="47" cm="1">
        <f t="array" ref="H327">ROUND(G327*IF(OR(MID(A327,5,3)={"BFF","PRK","FPL","LMB","FFI","MET","RIC","FLR","SUG","OIL","DRK","JCE","FEG"}),1.21,IF(OR(MID(A327,5,3)={"FVG","FFR"}),1.33,IF(OR(MID(A327,5,3)={"FBT","FCH","FMK","FYG","MLK","ICE","FRV","FPO","FRF","FCC","BRD"}),1.28,IF(OR(MID(A327,5,3)={"BIS","CRP","HRB","TUR","IND","HYG"}),1.38,1.31)))),2)</f>
        <v>24.83</v>
      </c>
      <c r="I327" s="27">
        <f>(Table1[[#This Row],[SALE PRICE]]-Table1[[#This Row],[COST PRICE]])/Table1[[#This Row],[SALE PRICE]]</f>
        <v>0.27547321788159485</v>
      </c>
      <c r="J327" s="27" t="str">
        <f>IF(Table1[[#This Row],[MARGIN]]&lt;25%, "REVIEW", "OK")</f>
        <v>OK</v>
      </c>
    </row>
    <row r="328" spans="1:10" ht="15.6" x14ac:dyDescent="0.3">
      <c r="A328" s="17" t="s">
        <v>1587</v>
      </c>
      <c r="B328" s="12" t="s">
        <v>1739</v>
      </c>
      <c r="C328" s="12" t="s">
        <v>1426</v>
      </c>
      <c r="D328" s="10"/>
      <c r="E328" s="10"/>
      <c r="F328" s="12"/>
      <c r="G328" s="46">
        <v>107.29</v>
      </c>
      <c r="H328" s="46" cm="1">
        <f t="array" ref="H328">ROUND(G328*IF(OR(MID(A328,5,3)={"BFF","PRK","FPL","LMB","FFI","MET","RIC","FLR","SUG","OIL","DRK","JCE","FEG"}),1.21,IF(OR(MID(A328,5,3)={"FVG","FFR"}),1.33,IF(OR(MID(A328,5,3)={"FBT","FCH","FMK","FYG","MLK","ICE","FRV","FPO","FRF","FCC","BRD"}),1.28,IF(OR(MID(A328,5,3)={"BIS","CRP","HRB","TUR","IND","HYG"}),1.38,1.31)))),2)</f>
        <v>148.06</v>
      </c>
      <c r="I328" s="29">
        <f>(Table1[[#This Row],[SALE PRICE]]-Table1[[#This Row],[COST PRICE]])/Table1[[#This Row],[SALE PRICE]]</f>
        <v>0.27536133999729834</v>
      </c>
      <c r="J328" s="26" t="str">
        <f>IF(Table1[[#This Row],[MARGIN]]&lt;25%, "REVIEW", "OK")</f>
        <v>OK</v>
      </c>
    </row>
    <row r="329" spans="1:10" ht="15.6" x14ac:dyDescent="0.3">
      <c r="A329" s="18" t="s">
        <v>1588</v>
      </c>
      <c r="B329" s="13" t="s">
        <v>1740</v>
      </c>
      <c r="C329" s="13" t="s">
        <v>1430</v>
      </c>
      <c r="D329" s="11"/>
      <c r="E329" s="11"/>
      <c r="F329" s="13"/>
      <c r="G329" s="47">
        <v>6.69</v>
      </c>
      <c r="H329" s="47" cm="1">
        <f t="array" ref="H329">ROUND(G329*IF(OR(MID(A329,5,3)={"BFF","PRK","FPL","LMB","FFI","MET","RIC","FLR","SUG","OIL","DRK","JCE","FEG"}),1.21,IF(OR(MID(A329,5,3)={"FVG","FFR"}),1.33,IF(OR(MID(A329,5,3)={"FBT","FCH","FMK","FYG","MLK","ICE","FRV","FPO","FRF","FCC","BRD"}),1.28,IF(OR(MID(A329,5,3)={"BIS","CRP","HRB","TUR","IND","HYG"}),1.38,1.31)))),2)</f>
        <v>9.23</v>
      </c>
      <c r="I329" s="27">
        <f>(Table1[[#This Row],[SALE PRICE]]-Table1[[#This Row],[COST PRICE]])/Table1[[#This Row],[SALE PRICE]]</f>
        <v>0.27518959913326108</v>
      </c>
      <c r="J329" s="27" t="str">
        <f>IF(Table1[[#This Row],[MARGIN]]&lt;25%, "REVIEW", "OK")</f>
        <v>OK</v>
      </c>
    </row>
    <row r="330" spans="1:10" ht="15.6" x14ac:dyDescent="0.3">
      <c r="A330" s="17" t="s">
        <v>1589</v>
      </c>
      <c r="B330" s="12" t="s">
        <v>1741</v>
      </c>
      <c r="C330" s="12" t="s">
        <v>1426</v>
      </c>
      <c r="D330" s="10"/>
      <c r="E330" s="10"/>
      <c r="F330" s="12"/>
      <c r="G330" s="46">
        <v>39.99</v>
      </c>
      <c r="H330" s="46" cm="1">
        <f t="array" ref="H330">ROUND(G330*IF(OR(MID(A330,5,3)={"BFF","PRK","FPL","LMB","FFI","MET","RIC","FLR","SUG","OIL","DRK","JCE","FEG"}),1.21,IF(OR(MID(A330,5,3)={"FVG","FFR"}),1.33,IF(OR(MID(A330,5,3)={"FBT","FCH","FMK","FYG","MLK","ICE","FRV","FPO","FRF","FCC","BRD"}),1.28,IF(OR(MID(A330,5,3)={"BIS","CRP","HRB","TUR","IND","HYG"}),1.38,1.31)))),2)</f>
        <v>55.19</v>
      </c>
      <c r="I330" s="29">
        <f>(Table1[[#This Row],[SALE PRICE]]-Table1[[#This Row],[COST PRICE]])/Table1[[#This Row],[SALE PRICE]]</f>
        <v>0.27541221235731106</v>
      </c>
      <c r="J330" s="26" t="str">
        <f>IF(Table1[[#This Row],[MARGIN]]&lt;25%, "REVIEW", "OK")</f>
        <v>OK</v>
      </c>
    </row>
    <row r="331" spans="1:10" ht="15.6" x14ac:dyDescent="0.3">
      <c r="A331" s="18" t="s">
        <v>1590</v>
      </c>
      <c r="B331" s="13" t="s">
        <v>1742</v>
      </c>
      <c r="C331" s="13" t="s">
        <v>1430</v>
      </c>
      <c r="D331" s="11"/>
      <c r="E331" s="11"/>
      <c r="F331" s="13"/>
      <c r="G331" s="47">
        <v>14.49</v>
      </c>
      <c r="H331" s="47" cm="1">
        <f t="array" ref="H331">ROUND(G331*IF(OR(MID(A331,5,3)={"BFF","PRK","FPL","LMB","FFI","MET","RIC","FLR","SUG","OIL","DRK","JCE","FEG"}),1.21,IF(OR(MID(A331,5,3)={"FVG","FFR"}),1.33,IF(OR(MID(A331,5,3)={"FBT","FCH","FMK","FYG","MLK","ICE","FRV","FPO","FRF","FCC","BRD"}),1.28,IF(OR(MID(A331,5,3)={"BIS","CRP","HRB","TUR","IND","HYG"}),1.38,1.31)))),2)</f>
        <v>20</v>
      </c>
      <c r="I331" s="27">
        <f>(Table1[[#This Row],[SALE PRICE]]-Table1[[#This Row],[COST PRICE]])/Table1[[#This Row],[SALE PRICE]]</f>
        <v>0.27549999999999997</v>
      </c>
      <c r="J331" s="27" t="str">
        <f>IF(Table1[[#This Row],[MARGIN]]&lt;25%, "REVIEW", "OK")</f>
        <v>OK</v>
      </c>
    </row>
    <row r="332" spans="1:10" ht="15.6" x14ac:dyDescent="0.3">
      <c r="A332" s="17" t="s">
        <v>1591</v>
      </c>
      <c r="B332" s="12" t="s">
        <v>1743</v>
      </c>
      <c r="C332" s="12" t="s">
        <v>1426</v>
      </c>
      <c r="D332" s="10"/>
      <c r="E332" s="10"/>
      <c r="F332" s="12"/>
      <c r="G332" s="46">
        <v>84.99</v>
      </c>
      <c r="H332" s="46" cm="1">
        <f t="array" ref="H332">ROUND(G332*IF(OR(MID(A332,5,3)={"BFF","PRK","FPL","LMB","FFI","MET","RIC","FLR","SUG","OIL","DRK","JCE","FEG"}),1.21,IF(OR(MID(A332,5,3)={"FVG","FFR"}),1.33,IF(OR(MID(A332,5,3)={"FBT","FCH","FMK","FYG","MLK","ICE","FRV","FPO","FRF","FCC","BRD"}),1.28,IF(OR(MID(A332,5,3)={"BIS","CRP","HRB","TUR","IND","HYG"}),1.38,1.31)))),2)</f>
        <v>117.29</v>
      </c>
      <c r="I332" s="29">
        <f>(Table1[[#This Row],[SALE PRICE]]-Table1[[#This Row],[COST PRICE]])/Table1[[#This Row],[SALE PRICE]]</f>
        <v>0.27538579589052781</v>
      </c>
      <c r="J332" s="26" t="str">
        <f>IF(Table1[[#This Row],[MARGIN]]&lt;25%, "REVIEW", "OK")</f>
        <v>OK</v>
      </c>
    </row>
    <row r="333" spans="1:10" ht="15.6" x14ac:dyDescent="0.3">
      <c r="A333" s="18" t="s">
        <v>1592</v>
      </c>
      <c r="B333" s="13" t="s">
        <v>1744</v>
      </c>
      <c r="C333" s="13" t="s">
        <v>1430</v>
      </c>
      <c r="D333" s="11"/>
      <c r="E333" s="11"/>
      <c r="F333" s="13"/>
      <c r="G333" s="47">
        <v>15.49</v>
      </c>
      <c r="H333" s="47" cm="1">
        <f t="array" ref="H333">ROUND(G333*IF(OR(MID(A333,5,3)={"BFF","PRK","FPL","LMB","FFI","MET","RIC","FLR","SUG","OIL","DRK","JCE","FEG"}),1.21,IF(OR(MID(A333,5,3)={"FVG","FFR"}),1.33,IF(OR(MID(A333,5,3)={"FBT","FCH","FMK","FYG","MLK","ICE","FRV","FPO","FRF","FCC","BRD"}),1.28,IF(OR(MID(A333,5,3)={"BIS","CRP","HRB","TUR","IND","HYG"}),1.38,1.31)))),2)</f>
        <v>21.38</v>
      </c>
      <c r="I333" s="27">
        <f>(Table1[[#This Row],[SALE PRICE]]-Table1[[#This Row],[COST PRICE]])/Table1[[#This Row],[SALE PRICE]]</f>
        <v>0.27549111318989705</v>
      </c>
      <c r="J333" s="27" t="str">
        <f>IF(Table1[[#This Row],[MARGIN]]&lt;25%, "REVIEW", "OK")</f>
        <v>OK</v>
      </c>
    </row>
    <row r="334" spans="1:10" ht="15.6" x14ac:dyDescent="0.3">
      <c r="A334" s="17" t="s">
        <v>1593</v>
      </c>
      <c r="B334" s="12" t="s">
        <v>1745</v>
      </c>
      <c r="C334" s="12" t="s">
        <v>1430</v>
      </c>
      <c r="D334" s="10"/>
      <c r="E334" s="10"/>
      <c r="F334" s="12"/>
      <c r="G334" s="46">
        <v>5.59</v>
      </c>
      <c r="H334" s="46" cm="1">
        <f t="array" ref="H334">ROUND(G334*IF(OR(MID(A334,5,3)={"BFF","PRK","FPL","LMB","FFI","MET","RIC","FLR","SUG","OIL","DRK","JCE","FEG"}),1.21,IF(OR(MID(A334,5,3)={"FVG","FFR"}),1.33,IF(OR(MID(A334,5,3)={"FBT","FCH","FMK","FYG","MLK","ICE","FRV","FPO","FRF","FCC","BRD"}),1.28,IF(OR(MID(A334,5,3)={"BIS","CRP","HRB","TUR","IND","HYG"}),1.38,1.31)))),2)</f>
        <v>7.71</v>
      </c>
      <c r="I334" s="29">
        <f>(Table1[[#This Row],[SALE PRICE]]-Table1[[#This Row],[COST PRICE]])/Table1[[#This Row],[SALE PRICE]]</f>
        <v>0.27496757457846954</v>
      </c>
      <c r="J334" s="26" t="str">
        <f>IF(Table1[[#This Row],[MARGIN]]&lt;25%, "REVIEW", "OK")</f>
        <v>OK</v>
      </c>
    </row>
    <row r="335" spans="1:10" ht="15.6" x14ac:dyDescent="0.3">
      <c r="A335" s="18" t="s">
        <v>1594</v>
      </c>
      <c r="B335" s="13" t="s">
        <v>1746</v>
      </c>
      <c r="C335" s="13" t="s">
        <v>1430</v>
      </c>
      <c r="D335" s="11"/>
      <c r="E335" s="11"/>
      <c r="F335" s="13"/>
      <c r="G335" s="47">
        <v>4.99</v>
      </c>
      <c r="H335" s="47" cm="1">
        <f t="array" ref="H335">ROUND(G335*IF(OR(MID(A335,5,3)={"BFF","PRK","FPL","LMB","FFI","MET","RIC","FLR","SUG","OIL","DRK","JCE","FEG"}),1.21,IF(OR(MID(A335,5,3)={"FVG","FFR"}),1.33,IF(OR(MID(A335,5,3)={"FBT","FCH","FMK","FYG","MLK","ICE","FRV","FPO","FRF","FCC","BRD"}),1.28,IF(OR(MID(A335,5,3)={"BIS","CRP","HRB","TUR","IND","HYG"}),1.38,1.31)))),2)</f>
        <v>6.89</v>
      </c>
      <c r="I335" s="27">
        <f>(Table1[[#This Row],[SALE PRICE]]-Table1[[#This Row],[COST PRICE]])/Table1[[#This Row],[SALE PRICE]]</f>
        <v>0.27576197387518137</v>
      </c>
      <c r="J335" s="27" t="str">
        <f>IF(Table1[[#This Row],[MARGIN]]&lt;25%, "REVIEW", "OK")</f>
        <v>OK</v>
      </c>
    </row>
    <row r="336" spans="1:10" ht="15.6" x14ac:dyDescent="0.3">
      <c r="A336" s="17" t="s">
        <v>1595</v>
      </c>
      <c r="B336" s="12" t="s">
        <v>1747</v>
      </c>
      <c r="C336" s="12" t="s">
        <v>1426</v>
      </c>
      <c r="D336" s="10"/>
      <c r="E336" s="10"/>
      <c r="F336" s="12"/>
      <c r="G336" s="46">
        <v>19.89</v>
      </c>
      <c r="H336" s="46" cm="1">
        <f t="array" ref="H336">ROUND(G336*IF(OR(MID(A336,5,3)={"BFF","PRK","FPL","LMB","FFI","MET","RIC","FLR","SUG","OIL","DRK","JCE","FEG"}),1.21,IF(OR(MID(A336,5,3)={"FVG","FFR"}),1.33,IF(OR(MID(A336,5,3)={"FBT","FCH","FMK","FYG","MLK","ICE","FRV","FPO","FRF","FCC","BRD"}),1.28,IF(OR(MID(A336,5,3)={"BIS","CRP","HRB","TUR","IND","HYG"}),1.38,1.31)))),2)</f>
        <v>27.45</v>
      </c>
      <c r="I336" s="29">
        <f>(Table1[[#This Row],[SALE PRICE]]-Table1[[#This Row],[COST PRICE]])/Table1[[#This Row],[SALE PRICE]]</f>
        <v>0.27540983606557373</v>
      </c>
      <c r="J336" s="26" t="str">
        <f>IF(Table1[[#This Row],[MARGIN]]&lt;25%, "REVIEW", "OK")</f>
        <v>OK</v>
      </c>
    </row>
    <row r="337" spans="1:10" ht="15.6" x14ac:dyDescent="0.3">
      <c r="A337" s="18" t="s">
        <v>1596</v>
      </c>
      <c r="B337" s="13" t="s">
        <v>1748</v>
      </c>
      <c r="C337" s="13" t="s">
        <v>1430</v>
      </c>
      <c r="D337" s="11"/>
      <c r="E337" s="11"/>
      <c r="F337" s="13"/>
      <c r="G337" s="47">
        <v>7.99</v>
      </c>
      <c r="H337" s="47" cm="1">
        <f t="array" ref="H337">ROUND(G337*IF(OR(MID(A337,5,3)={"BFF","PRK","FPL","LMB","FFI","MET","RIC","FLR","SUG","OIL","DRK","JCE","FEG"}),1.21,IF(OR(MID(A337,5,3)={"FVG","FFR"}),1.33,IF(OR(MID(A337,5,3)={"FBT","FCH","FMK","FYG","MLK","ICE","FRV","FPO","FRF","FCC","BRD"}),1.28,IF(OR(MID(A337,5,3)={"BIS","CRP","HRB","TUR","IND","HYG"}),1.38,1.31)))),2)</f>
        <v>11.03</v>
      </c>
      <c r="I337" s="27">
        <f>(Table1[[#This Row],[SALE PRICE]]-Table1[[#This Row],[COST PRICE]])/Table1[[#This Row],[SALE PRICE]]</f>
        <v>0.27561196736174065</v>
      </c>
      <c r="J337" s="27" t="str">
        <f>IF(Table1[[#This Row],[MARGIN]]&lt;25%, "REVIEW", "OK")</f>
        <v>OK</v>
      </c>
    </row>
    <row r="338" spans="1:10" ht="15.6" x14ac:dyDescent="0.3">
      <c r="A338" s="17" t="s">
        <v>1597</v>
      </c>
      <c r="B338" s="12" t="s">
        <v>1749</v>
      </c>
      <c r="C338" s="12" t="s">
        <v>1430</v>
      </c>
      <c r="D338" s="10"/>
      <c r="E338" s="10"/>
      <c r="F338" s="12"/>
      <c r="G338" s="46">
        <v>3.29</v>
      </c>
      <c r="H338" s="46" cm="1">
        <f t="array" ref="H338">ROUND(G338*IF(OR(MID(A338,5,3)={"BFF","PRK","FPL","LMB","FFI","MET","RIC","FLR","SUG","OIL","DRK","JCE","FEG"}),1.21,IF(OR(MID(A338,5,3)={"FVG","FFR"}),1.33,IF(OR(MID(A338,5,3)={"FBT","FCH","FMK","FYG","MLK","ICE","FRV","FPO","FRF","FCC","BRD"}),1.28,IF(OR(MID(A338,5,3)={"BIS","CRP","HRB","TUR","IND","HYG"}),1.38,1.31)))),2)</f>
        <v>4.54</v>
      </c>
      <c r="I338" s="29">
        <f>(Table1[[#This Row],[SALE PRICE]]-Table1[[#This Row],[COST PRICE]])/Table1[[#This Row],[SALE PRICE]]</f>
        <v>0.2753303964757709</v>
      </c>
      <c r="J338" s="26" t="str">
        <f>IF(Table1[[#This Row],[MARGIN]]&lt;25%, "REVIEW", "OK")</f>
        <v>OK</v>
      </c>
    </row>
    <row r="339" spans="1:10" ht="15.6" x14ac:dyDescent="0.3">
      <c r="A339" s="18" t="s">
        <v>1598</v>
      </c>
      <c r="B339" s="13" t="s">
        <v>1750</v>
      </c>
      <c r="C339" s="13" t="s">
        <v>1426</v>
      </c>
      <c r="D339" s="11"/>
      <c r="E339" s="11"/>
      <c r="F339" s="13"/>
      <c r="G339" s="47">
        <v>19.489999999999998</v>
      </c>
      <c r="H339" s="47" cm="1">
        <f t="array" ref="H339">ROUND(G339*IF(OR(MID(A339,5,3)={"BFF","PRK","FPL","LMB","FFI","MET","RIC","FLR","SUG","OIL","DRK","JCE","FEG"}),1.21,IF(OR(MID(A339,5,3)={"FVG","FFR"}),1.33,IF(OR(MID(A339,5,3)={"FBT","FCH","FMK","FYG","MLK","ICE","FRV","FPO","FRF","FCC","BRD"}),1.28,IF(OR(MID(A339,5,3)={"BIS","CRP","HRB","TUR","IND","HYG"}),1.38,1.31)))),2)</f>
        <v>26.9</v>
      </c>
      <c r="I339" s="27">
        <f>(Table1[[#This Row],[SALE PRICE]]-Table1[[#This Row],[COST PRICE]])/Table1[[#This Row],[SALE PRICE]]</f>
        <v>0.2754646840148699</v>
      </c>
      <c r="J339" s="27" t="str">
        <f>IF(Table1[[#This Row],[MARGIN]]&lt;25%, "REVIEW", "OK")</f>
        <v>OK</v>
      </c>
    </row>
    <row r="340" spans="1:10" ht="15.6" x14ac:dyDescent="0.3">
      <c r="A340" s="17" t="s">
        <v>1599</v>
      </c>
      <c r="B340" s="12" t="s">
        <v>1751</v>
      </c>
      <c r="C340" s="12" t="s">
        <v>1430</v>
      </c>
      <c r="D340" s="10"/>
      <c r="E340" s="10"/>
      <c r="F340" s="12"/>
      <c r="G340" s="46">
        <v>7.99</v>
      </c>
      <c r="H340" s="46" cm="1">
        <f t="array" ref="H340">ROUND(G340*IF(OR(MID(A340,5,3)={"BFF","PRK","FPL","LMB","FFI","MET","RIC","FLR","SUG","OIL","DRK","JCE","FEG"}),1.21,IF(OR(MID(A340,5,3)={"FVG","FFR"}),1.33,IF(OR(MID(A340,5,3)={"FBT","FCH","FMK","FYG","MLK","ICE","FRV","FPO","FRF","FCC","BRD"}),1.28,IF(OR(MID(A340,5,3)={"BIS","CRP","HRB","TUR","IND","HYG"}),1.38,1.31)))),2)</f>
        <v>11.03</v>
      </c>
      <c r="I340" s="29">
        <f>(Table1[[#This Row],[SALE PRICE]]-Table1[[#This Row],[COST PRICE]])/Table1[[#This Row],[SALE PRICE]]</f>
        <v>0.27561196736174065</v>
      </c>
      <c r="J340" s="26" t="str">
        <f>IF(Table1[[#This Row],[MARGIN]]&lt;25%, "REVIEW", "OK")</f>
        <v>OK</v>
      </c>
    </row>
    <row r="341" spans="1:10" ht="15.6" x14ac:dyDescent="0.3">
      <c r="A341" s="18" t="s">
        <v>1600</v>
      </c>
      <c r="B341" s="13" t="s">
        <v>1752</v>
      </c>
      <c r="C341" s="13" t="s">
        <v>1430</v>
      </c>
      <c r="D341" s="11"/>
      <c r="E341" s="11"/>
      <c r="F341" s="13"/>
      <c r="G341" s="47">
        <v>4.99</v>
      </c>
      <c r="H341" s="47" cm="1">
        <f t="array" ref="H341">ROUND(G341*IF(OR(MID(A341,5,3)={"BFF","PRK","FPL","LMB","FFI","MET","RIC","FLR","SUG","OIL","DRK","JCE","FEG"}),1.21,IF(OR(MID(A341,5,3)={"FVG","FFR"}),1.33,IF(OR(MID(A341,5,3)={"FBT","FCH","FMK","FYG","MLK","ICE","FRV","FPO","FRF","FCC","BRD"}),1.28,IF(OR(MID(A341,5,3)={"BIS","CRP","HRB","TUR","IND","HYG"}),1.38,1.31)))),2)</f>
        <v>6.89</v>
      </c>
      <c r="I341" s="27">
        <f>(Table1[[#This Row],[SALE PRICE]]-Table1[[#This Row],[COST PRICE]])/Table1[[#This Row],[SALE PRICE]]</f>
        <v>0.27576197387518137</v>
      </c>
      <c r="J341" s="27" t="str">
        <f>IF(Table1[[#This Row],[MARGIN]]&lt;25%, "REVIEW", "OK")</f>
        <v>OK</v>
      </c>
    </row>
    <row r="342" spans="1:10" ht="15.6" x14ac:dyDescent="0.3">
      <c r="A342" s="17" t="s">
        <v>1601</v>
      </c>
      <c r="B342" s="12" t="s">
        <v>1753</v>
      </c>
      <c r="C342" s="12" t="s">
        <v>1426</v>
      </c>
      <c r="D342" s="10"/>
      <c r="E342" s="10"/>
      <c r="F342" s="12"/>
      <c r="G342" s="46">
        <v>23.99</v>
      </c>
      <c r="H342" s="46" cm="1">
        <f t="array" ref="H342">ROUND(G342*IF(OR(MID(A342,5,3)={"BFF","PRK","FPL","LMB","FFI","MET","RIC","FLR","SUG","OIL","DRK","JCE","FEG"}),1.21,IF(OR(MID(A342,5,3)={"FVG","FFR"}),1.33,IF(OR(MID(A342,5,3)={"FBT","FCH","FMK","FYG","MLK","ICE","FRV","FPO","FRF","FCC","BRD"}),1.28,IF(OR(MID(A342,5,3)={"BIS","CRP","HRB","TUR","IND","HYG"}),1.38,1.31)))),2)</f>
        <v>33.11</v>
      </c>
      <c r="I342" s="29">
        <f>(Table1[[#This Row],[SALE PRICE]]-Table1[[#This Row],[COST PRICE]])/Table1[[#This Row],[SALE PRICE]]</f>
        <v>0.27544548474781039</v>
      </c>
      <c r="J342" s="26" t="str">
        <f>IF(Table1[[#This Row],[MARGIN]]&lt;25%, "REVIEW", "OK")</f>
        <v>OK</v>
      </c>
    </row>
    <row r="343" spans="1:10" ht="15.6" x14ac:dyDescent="0.3">
      <c r="A343" s="18" t="s">
        <v>1602</v>
      </c>
      <c r="B343" s="13" t="s">
        <v>1754</v>
      </c>
      <c r="C343" s="13" t="s">
        <v>1430</v>
      </c>
      <c r="D343" s="11"/>
      <c r="E343" s="11"/>
      <c r="F343" s="13"/>
      <c r="G343" s="47">
        <v>14.49</v>
      </c>
      <c r="H343" s="47" cm="1">
        <f t="array" ref="H343">ROUND(G343*IF(OR(MID(A343,5,3)={"BFF","PRK","FPL","LMB","FFI","MET","RIC","FLR","SUG","OIL","DRK","JCE","FEG"}),1.21,IF(OR(MID(A343,5,3)={"FVG","FFR"}),1.33,IF(OR(MID(A343,5,3)={"FBT","FCH","FMK","FYG","MLK","ICE","FRV","FPO","FRF","FCC","BRD"}),1.28,IF(OR(MID(A343,5,3)={"BIS","CRP","HRB","TUR","IND","HYG"}),1.38,1.31)))),2)</f>
        <v>20</v>
      </c>
      <c r="I343" s="27">
        <f>(Table1[[#This Row],[SALE PRICE]]-Table1[[#This Row],[COST PRICE]])/Table1[[#This Row],[SALE PRICE]]</f>
        <v>0.27549999999999997</v>
      </c>
      <c r="J343" s="27" t="str">
        <f>IF(Table1[[#This Row],[MARGIN]]&lt;25%, "REVIEW", "OK")</f>
        <v>OK</v>
      </c>
    </row>
    <row r="344" spans="1:10" ht="15.6" x14ac:dyDescent="0.3">
      <c r="A344" s="17" t="s">
        <v>1603</v>
      </c>
      <c r="B344" s="12" t="s">
        <v>1755</v>
      </c>
      <c r="C344" s="12" t="s">
        <v>1430</v>
      </c>
      <c r="D344" s="10"/>
      <c r="E344" s="10"/>
      <c r="F344" s="12"/>
      <c r="G344" s="46">
        <v>9.99</v>
      </c>
      <c r="H344" s="46" cm="1">
        <f t="array" ref="H344">ROUND(G344*IF(OR(MID(A344,5,3)={"BFF","PRK","FPL","LMB","FFI","MET","RIC","FLR","SUG","OIL","DRK","JCE","FEG"}),1.21,IF(OR(MID(A344,5,3)={"FVG","FFR"}),1.33,IF(OR(MID(A344,5,3)={"FBT","FCH","FMK","FYG","MLK","ICE","FRV","FPO","FRF","FCC","BRD"}),1.28,IF(OR(MID(A344,5,3)={"BIS","CRP","HRB","TUR","IND","HYG"}),1.38,1.31)))),2)</f>
        <v>13.79</v>
      </c>
      <c r="I344" s="29">
        <f>(Table1[[#This Row],[SALE PRICE]]-Table1[[#This Row],[COST PRICE]])/Table1[[#This Row],[SALE PRICE]]</f>
        <v>0.27556200145032628</v>
      </c>
      <c r="J344" s="26" t="str">
        <f>IF(Table1[[#This Row],[MARGIN]]&lt;25%, "REVIEW", "OK")</f>
        <v>OK</v>
      </c>
    </row>
    <row r="345" spans="1:10" ht="15.6" x14ac:dyDescent="0.3">
      <c r="A345" s="18" t="s">
        <v>1604</v>
      </c>
      <c r="B345" s="13" t="s">
        <v>1756</v>
      </c>
      <c r="C345" s="13" t="s">
        <v>1426</v>
      </c>
      <c r="D345" s="11"/>
      <c r="E345" s="11"/>
      <c r="F345" s="13"/>
      <c r="G345" s="47">
        <v>53.49</v>
      </c>
      <c r="H345" s="47" cm="1">
        <f t="array" ref="H345">ROUND(G345*IF(OR(MID(A345,5,3)={"BFF","PRK","FPL","LMB","FFI","MET","RIC","FLR","SUG","OIL","DRK","JCE","FEG"}),1.21,IF(OR(MID(A345,5,3)={"FVG","FFR"}),1.33,IF(OR(MID(A345,5,3)={"FBT","FCH","FMK","FYG","MLK","ICE","FRV","FPO","FRF","FCC","BRD"}),1.28,IF(OR(MID(A345,5,3)={"BIS","CRP","HRB","TUR","IND","HYG"}),1.38,1.31)))),2)</f>
        <v>73.819999999999993</v>
      </c>
      <c r="I345" s="27">
        <f>(Table1[[#This Row],[SALE PRICE]]-Table1[[#This Row],[COST PRICE]])/Table1[[#This Row],[SALE PRICE]]</f>
        <v>0.27539962069899748</v>
      </c>
      <c r="J345" s="27" t="str">
        <f>IF(Table1[[#This Row],[MARGIN]]&lt;25%, "REVIEW", "OK")</f>
        <v>OK</v>
      </c>
    </row>
    <row r="346" spans="1:10" ht="15.6" x14ac:dyDescent="0.3">
      <c r="A346" s="17" t="s">
        <v>1605</v>
      </c>
      <c r="B346" s="12" t="s">
        <v>1757</v>
      </c>
      <c r="C346" s="12" t="s">
        <v>1430</v>
      </c>
      <c r="D346" s="10"/>
      <c r="E346" s="10"/>
      <c r="F346" s="12"/>
      <c r="G346" s="46">
        <v>7.99</v>
      </c>
      <c r="H346" s="46" cm="1">
        <f t="array" ref="H346">ROUND(G346*IF(OR(MID(A346,5,3)={"BFF","PRK","FPL","LMB","FFI","MET","RIC","FLR","SUG","OIL","DRK","JCE","FEG"}),1.21,IF(OR(MID(A346,5,3)={"FVG","FFR"}),1.33,IF(OR(MID(A346,5,3)={"FBT","FCH","FMK","FYG","MLK","ICE","FRV","FPO","FRF","FCC","BRD"}),1.28,IF(OR(MID(A346,5,3)={"BIS","CRP","HRB","TUR","IND","HYG"}),1.38,1.31)))),2)</f>
        <v>11.03</v>
      </c>
      <c r="I346" s="29">
        <f>(Table1[[#This Row],[SALE PRICE]]-Table1[[#This Row],[COST PRICE]])/Table1[[#This Row],[SALE PRICE]]</f>
        <v>0.27561196736174065</v>
      </c>
      <c r="J346" s="26" t="str">
        <f>IF(Table1[[#This Row],[MARGIN]]&lt;25%, "REVIEW", "OK")</f>
        <v>OK</v>
      </c>
    </row>
    <row r="347" spans="1:10" ht="15.6" x14ac:dyDescent="0.3">
      <c r="A347" s="18" t="s">
        <v>1606</v>
      </c>
      <c r="B347" s="13" t="s">
        <v>1758</v>
      </c>
      <c r="C347" s="13" t="s">
        <v>1426</v>
      </c>
      <c r="D347" s="11"/>
      <c r="E347" s="11"/>
      <c r="F347" s="13"/>
      <c r="G347" s="47">
        <v>43.49</v>
      </c>
      <c r="H347" s="47" cm="1">
        <f t="array" ref="H347">ROUND(G347*IF(OR(MID(A347,5,3)={"BFF","PRK","FPL","LMB","FFI","MET","RIC","FLR","SUG","OIL","DRK","JCE","FEG"}),1.21,IF(OR(MID(A347,5,3)={"FVG","FFR"}),1.33,IF(OR(MID(A347,5,3)={"FBT","FCH","FMK","FYG","MLK","ICE","FRV","FPO","FRF","FCC","BRD"}),1.28,IF(OR(MID(A347,5,3)={"BIS","CRP","HRB","TUR","IND","HYG"}),1.38,1.31)))),2)</f>
        <v>60.02</v>
      </c>
      <c r="I347" s="27">
        <f>(Table1[[#This Row],[SALE PRICE]]-Table1[[#This Row],[COST PRICE]])/Table1[[#This Row],[SALE PRICE]]</f>
        <v>0.27540819726757748</v>
      </c>
      <c r="J347" s="27" t="str">
        <f>IF(Table1[[#This Row],[MARGIN]]&lt;25%, "REVIEW", "OK")</f>
        <v>OK</v>
      </c>
    </row>
    <row r="348" spans="1:10" ht="31.2" x14ac:dyDescent="0.3">
      <c r="A348" s="17" t="s">
        <v>1607</v>
      </c>
      <c r="B348" s="12" t="s">
        <v>1759</v>
      </c>
      <c r="C348" s="12" t="s">
        <v>1430</v>
      </c>
      <c r="D348" s="10"/>
      <c r="E348" s="10"/>
      <c r="F348" s="12"/>
      <c r="G348" s="46">
        <v>5.99</v>
      </c>
      <c r="H348" s="46" cm="1">
        <f t="array" ref="H348">ROUND(G348*IF(OR(MID(A348,5,3)={"BFF","PRK","FPL","LMB","FFI","MET","RIC","FLR","SUG","OIL","DRK","JCE","FEG"}),1.21,IF(OR(MID(A348,5,3)={"FVG","FFR"}),1.33,IF(OR(MID(A348,5,3)={"FBT","FCH","FMK","FYG","MLK","ICE","FRV","FPO","FRF","FCC","BRD"}),1.28,IF(OR(MID(A348,5,3)={"BIS","CRP","HRB","TUR","IND","HYG"}),1.38,1.31)))),2)</f>
        <v>8.27</v>
      </c>
      <c r="I348" s="29">
        <f>(Table1[[#This Row],[SALE PRICE]]-Table1[[#This Row],[COST PRICE]])/Table1[[#This Row],[SALE PRICE]]</f>
        <v>0.27569528415961297</v>
      </c>
      <c r="J348" s="26" t="str">
        <f>IF(Table1[[#This Row],[MARGIN]]&lt;25%, "REVIEW", "OK")</f>
        <v>OK</v>
      </c>
    </row>
    <row r="349" spans="1:10" ht="31.2" x14ac:dyDescent="0.3">
      <c r="A349" s="18" t="s">
        <v>1608</v>
      </c>
      <c r="B349" s="13" t="s">
        <v>1760</v>
      </c>
      <c r="C349" s="13" t="s">
        <v>1426</v>
      </c>
      <c r="D349" s="11"/>
      <c r="E349" s="11"/>
      <c r="F349" s="13"/>
      <c r="G349" s="47">
        <v>27.49</v>
      </c>
      <c r="H349" s="47" cm="1">
        <f t="array" ref="H349">ROUND(G349*IF(OR(MID(A349,5,3)={"BFF","PRK","FPL","LMB","FFI","MET","RIC","FLR","SUG","OIL","DRK","JCE","FEG"}),1.21,IF(OR(MID(A349,5,3)={"FVG","FFR"}),1.33,IF(OR(MID(A349,5,3)={"FBT","FCH","FMK","FYG","MLK","ICE","FRV","FPO","FRF","FCC","BRD"}),1.28,IF(OR(MID(A349,5,3)={"BIS","CRP","HRB","TUR","IND","HYG"}),1.38,1.31)))),2)</f>
        <v>37.94</v>
      </c>
      <c r="I349" s="27">
        <f>(Table1[[#This Row],[SALE PRICE]]-Table1[[#This Row],[COST PRICE]])/Table1[[#This Row],[SALE PRICE]]</f>
        <v>0.27543489720611491</v>
      </c>
      <c r="J349" s="27" t="str">
        <f>IF(Table1[[#This Row],[MARGIN]]&lt;25%, "REVIEW", "OK")</f>
        <v>OK</v>
      </c>
    </row>
    <row r="350" spans="1:10" ht="15.6" x14ac:dyDescent="0.3">
      <c r="A350" s="17" t="s">
        <v>1609</v>
      </c>
      <c r="B350" s="12" t="s">
        <v>1761</v>
      </c>
      <c r="C350" s="12" t="s">
        <v>1430</v>
      </c>
      <c r="D350" s="10"/>
      <c r="E350" s="10"/>
      <c r="F350" s="12"/>
      <c r="G350" s="46">
        <v>3.29</v>
      </c>
      <c r="H350" s="46" cm="1">
        <f t="array" ref="H350">ROUND(G350*IF(OR(MID(A350,5,3)={"BFF","PRK","FPL","LMB","FFI","MET","RIC","FLR","SUG","OIL","DRK","JCE","FEG"}),1.21,IF(OR(MID(A350,5,3)={"FVG","FFR"}),1.33,IF(OR(MID(A350,5,3)={"FBT","FCH","FMK","FYG","MLK","ICE","FRV","FPO","FRF","FCC","BRD"}),1.28,IF(OR(MID(A350,5,3)={"BIS","CRP","HRB","TUR","IND","HYG"}),1.38,1.31)))),2)</f>
        <v>4.54</v>
      </c>
      <c r="I350" s="29">
        <f>(Table1[[#This Row],[SALE PRICE]]-Table1[[#This Row],[COST PRICE]])/Table1[[#This Row],[SALE PRICE]]</f>
        <v>0.2753303964757709</v>
      </c>
      <c r="J350" s="26" t="str">
        <f>IF(Table1[[#This Row],[MARGIN]]&lt;25%, "REVIEW", "OK")</f>
        <v>OK</v>
      </c>
    </row>
    <row r="351" spans="1:10" ht="15.6" x14ac:dyDescent="0.3">
      <c r="A351" s="18" t="s">
        <v>1610</v>
      </c>
      <c r="B351" s="13" t="s">
        <v>1762</v>
      </c>
      <c r="C351" s="13" t="s">
        <v>1426</v>
      </c>
      <c r="D351" s="11"/>
      <c r="E351" s="11"/>
      <c r="F351" s="13"/>
      <c r="G351" s="47">
        <v>19.489999999999998</v>
      </c>
      <c r="H351" s="47" cm="1">
        <f t="array" ref="H351">ROUND(G351*IF(OR(MID(A351,5,3)={"BFF","PRK","FPL","LMB","FFI","MET","RIC","FLR","SUG","OIL","DRK","JCE","FEG"}),1.21,IF(OR(MID(A351,5,3)={"FVG","FFR"}),1.33,IF(OR(MID(A351,5,3)={"FBT","FCH","FMK","FYG","MLK","ICE","FRV","FPO","FRF","FCC","BRD"}),1.28,IF(OR(MID(A351,5,3)={"BIS","CRP","HRB","TUR","IND","HYG"}),1.38,1.31)))),2)</f>
        <v>26.9</v>
      </c>
      <c r="I351" s="27">
        <f>(Table1[[#This Row],[SALE PRICE]]-Table1[[#This Row],[COST PRICE]])/Table1[[#This Row],[SALE PRICE]]</f>
        <v>0.2754646840148699</v>
      </c>
      <c r="J351" s="27" t="str">
        <f>IF(Table1[[#This Row],[MARGIN]]&lt;25%, "REVIEW", "OK")</f>
        <v>OK</v>
      </c>
    </row>
    <row r="352" spans="1:10" ht="15.6" x14ac:dyDescent="0.3">
      <c r="A352" s="17" t="s">
        <v>1611</v>
      </c>
      <c r="B352" s="12" t="s">
        <v>1763</v>
      </c>
      <c r="C352" s="12" t="s">
        <v>1430</v>
      </c>
      <c r="D352" s="10"/>
      <c r="E352" s="10"/>
      <c r="F352" s="12"/>
      <c r="G352" s="46">
        <v>6.49</v>
      </c>
      <c r="H352" s="46" cm="1">
        <f t="array" ref="H352">ROUND(G352*IF(OR(MID(A352,5,3)={"BFF","PRK","FPL","LMB","FFI","MET","RIC","FLR","SUG","OIL","DRK","JCE","FEG"}),1.21,IF(OR(MID(A352,5,3)={"FVG","FFR"}),1.33,IF(OR(MID(A352,5,3)={"FBT","FCH","FMK","FYG","MLK","ICE","FRV","FPO","FRF","FCC","BRD"}),1.28,IF(OR(MID(A352,5,3)={"BIS","CRP","HRB","TUR","IND","HYG"}),1.38,1.31)))),2)</f>
        <v>8.9600000000000009</v>
      </c>
      <c r="I352" s="29">
        <f>(Table1[[#This Row],[SALE PRICE]]-Table1[[#This Row],[COST PRICE]])/Table1[[#This Row],[SALE PRICE]]</f>
        <v>0.2756696428571429</v>
      </c>
      <c r="J352" s="26" t="str">
        <f>IF(Table1[[#This Row],[MARGIN]]&lt;25%, "REVIEW", "OK")</f>
        <v>OK</v>
      </c>
    </row>
    <row r="353" spans="1:10" ht="15.6" x14ac:dyDescent="0.3">
      <c r="A353" s="18" t="s">
        <v>1612</v>
      </c>
      <c r="B353" s="13" t="s">
        <v>1764</v>
      </c>
      <c r="C353" s="13" t="s">
        <v>1426</v>
      </c>
      <c r="D353" s="11"/>
      <c r="E353" s="11"/>
      <c r="F353" s="13"/>
      <c r="G353" s="47">
        <v>36.99</v>
      </c>
      <c r="H353" s="47" cm="1">
        <f t="array" ref="H353">ROUND(G353*IF(OR(MID(A353,5,3)={"BFF","PRK","FPL","LMB","FFI","MET","RIC","FLR","SUG","OIL","DRK","JCE","FEG"}),1.21,IF(OR(MID(A353,5,3)={"FVG","FFR"}),1.33,IF(OR(MID(A353,5,3)={"FBT","FCH","FMK","FYG","MLK","ICE","FRV","FPO","FRF","FCC","BRD"}),1.28,IF(OR(MID(A353,5,3)={"BIS","CRP","HRB","TUR","IND","HYG"}),1.38,1.31)))),2)</f>
        <v>51.05</v>
      </c>
      <c r="I353" s="27">
        <f>(Table1[[#This Row],[SALE PRICE]]-Table1[[#This Row],[COST PRICE]])/Table1[[#This Row],[SALE PRICE]]</f>
        <v>0.27541625857002933</v>
      </c>
      <c r="J353" s="27" t="str">
        <f>IF(Table1[[#This Row],[MARGIN]]&lt;25%, "REVIEW", "OK")</f>
        <v>OK</v>
      </c>
    </row>
    <row r="354" spans="1:10" ht="15.6" x14ac:dyDescent="0.3">
      <c r="A354" s="17" t="s">
        <v>1613</v>
      </c>
      <c r="B354" s="12" t="s">
        <v>1765</v>
      </c>
      <c r="C354" s="12" t="s">
        <v>1430</v>
      </c>
      <c r="D354" s="10"/>
      <c r="E354" s="10"/>
      <c r="F354" s="12"/>
      <c r="G354" s="46">
        <v>4.79</v>
      </c>
      <c r="H354" s="46" cm="1">
        <f t="array" ref="H354">ROUND(G354*IF(OR(MID(A354,5,3)={"BFF","PRK","FPL","LMB","FFI","MET","RIC","FLR","SUG","OIL","DRK","JCE","FEG"}),1.21,IF(OR(MID(A354,5,3)={"FVG","FFR"}),1.33,IF(OR(MID(A354,5,3)={"FBT","FCH","FMK","FYG","MLK","ICE","FRV","FPO","FRF","FCC","BRD"}),1.28,IF(OR(MID(A354,5,3)={"BIS","CRP","HRB","TUR","IND","HYG"}),1.38,1.31)))),2)</f>
        <v>6.61</v>
      </c>
      <c r="I354" s="29">
        <f>(Table1[[#This Row],[SALE PRICE]]-Table1[[#This Row],[COST PRICE]])/Table1[[#This Row],[SALE PRICE]]</f>
        <v>0.27534039334341909</v>
      </c>
      <c r="J354" s="26" t="str">
        <f>IF(Table1[[#This Row],[MARGIN]]&lt;25%, "REVIEW", "OK")</f>
        <v>OK</v>
      </c>
    </row>
    <row r="355" spans="1:10" ht="15.6" x14ac:dyDescent="0.3">
      <c r="A355" s="18" t="s">
        <v>1614</v>
      </c>
      <c r="B355" s="13" t="s">
        <v>1766</v>
      </c>
      <c r="C355" s="13" t="s">
        <v>1426</v>
      </c>
      <c r="D355" s="11"/>
      <c r="E355" s="11"/>
      <c r="F355" s="13"/>
      <c r="G355" s="47">
        <v>28.49</v>
      </c>
      <c r="H355" s="47" cm="1">
        <f t="array" ref="H355">ROUND(G355*IF(OR(MID(A355,5,3)={"BFF","PRK","FPL","LMB","FFI","MET","RIC","FLR","SUG","OIL","DRK","JCE","FEG"}),1.21,IF(OR(MID(A355,5,3)={"FVG","FFR"}),1.33,IF(OR(MID(A355,5,3)={"FBT","FCH","FMK","FYG","MLK","ICE","FRV","FPO","FRF","FCC","BRD"}),1.28,IF(OR(MID(A355,5,3)={"BIS","CRP","HRB","TUR","IND","HYG"}),1.38,1.31)))),2)</f>
        <v>39.32</v>
      </c>
      <c r="I355" s="27">
        <f>(Table1[[#This Row],[SALE PRICE]]-Table1[[#This Row],[COST PRICE]])/Table1[[#This Row],[SALE PRICE]]</f>
        <v>0.27543234994913535</v>
      </c>
      <c r="J355" s="27" t="str">
        <f>IF(Table1[[#This Row],[MARGIN]]&lt;25%, "REVIEW", "OK")</f>
        <v>OK</v>
      </c>
    </row>
    <row r="356" spans="1:10" ht="15.6" x14ac:dyDescent="0.3">
      <c r="A356" s="17" t="s">
        <v>1615</v>
      </c>
      <c r="B356" s="12" t="s">
        <v>1767</v>
      </c>
      <c r="C356" s="12" t="s">
        <v>1430</v>
      </c>
      <c r="D356" s="10"/>
      <c r="E356" s="10"/>
      <c r="F356" s="12"/>
      <c r="G356" s="46">
        <v>8.49</v>
      </c>
      <c r="H356" s="46" cm="1">
        <f t="array" ref="H356">ROUND(G356*IF(OR(MID(A356,5,3)={"BFF","PRK","FPL","LMB","FFI","MET","RIC","FLR","SUG","OIL","DRK","JCE","FEG"}),1.21,IF(OR(MID(A356,5,3)={"FVG","FFR"}),1.33,IF(OR(MID(A356,5,3)={"FBT","FCH","FMK","FYG","MLK","ICE","FRV","FPO","FRF","FCC","BRD"}),1.28,IF(OR(MID(A356,5,3)={"BIS","CRP","HRB","TUR","IND","HYG"}),1.38,1.31)))),2)</f>
        <v>11.72</v>
      </c>
      <c r="I356" s="29">
        <f>(Table1[[#This Row],[SALE PRICE]]-Table1[[#This Row],[COST PRICE]])/Table1[[#This Row],[SALE PRICE]]</f>
        <v>0.27559726962457343</v>
      </c>
      <c r="J356" s="26" t="str">
        <f>IF(Table1[[#This Row],[MARGIN]]&lt;25%, "REVIEW", "OK")</f>
        <v>OK</v>
      </c>
    </row>
    <row r="357" spans="1:10" ht="15.6" x14ac:dyDescent="0.3">
      <c r="A357" s="18" t="s">
        <v>1616</v>
      </c>
      <c r="B357" s="13" t="s">
        <v>1768</v>
      </c>
      <c r="C357" s="13" t="s">
        <v>1426</v>
      </c>
      <c r="D357" s="11"/>
      <c r="E357" s="11"/>
      <c r="F357" s="13"/>
      <c r="G357" s="47">
        <v>47.99</v>
      </c>
      <c r="H357" s="47" cm="1">
        <f t="array" ref="H357">ROUND(G357*IF(OR(MID(A357,5,3)={"BFF","PRK","FPL","LMB","FFI","MET","RIC","FLR","SUG","OIL","DRK","JCE","FEG"}),1.21,IF(OR(MID(A357,5,3)={"FVG","FFR"}),1.33,IF(OR(MID(A357,5,3)={"FBT","FCH","FMK","FYG","MLK","ICE","FRV","FPO","FRF","FCC","BRD"}),1.28,IF(OR(MID(A357,5,3)={"BIS","CRP","HRB","TUR","IND","HYG"}),1.38,1.31)))),2)</f>
        <v>66.23</v>
      </c>
      <c r="I357" s="27">
        <f>(Table1[[#This Row],[SALE PRICE]]-Table1[[#This Row],[COST PRICE]])/Table1[[#This Row],[SALE PRICE]]</f>
        <v>0.27540389551562738</v>
      </c>
      <c r="J357" s="27" t="str">
        <f>IF(Table1[[#This Row],[MARGIN]]&lt;25%, "REVIEW", "OK")</f>
        <v>OK</v>
      </c>
    </row>
    <row r="358" spans="1:10" ht="15.6" x14ac:dyDescent="0.3">
      <c r="A358" s="17" t="s">
        <v>1617</v>
      </c>
      <c r="B358" s="12" t="s">
        <v>1769</v>
      </c>
      <c r="C358" s="12" t="s">
        <v>1430</v>
      </c>
      <c r="D358" s="10"/>
      <c r="E358" s="10"/>
      <c r="F358" s="12"/>
      <c r="G358" s="46">
        <v>10.99</v>
      </c>
      <c r="H358" s="46" cm="1">
        <f t="array" ref="H358">ROUND(G358*IF(OR(MID(A358,5,3)={"BFF","PRK","FPL","LMB","FFI","MET","RIC","FLR","SUG","OIL","DRK","JCE","FEG"}),1.21,IF(OR(MID(A358,5,3)={"FVG","FFR"}),1.33,IF(OR(MID(A358,5,3)={"FBT","FCH","FMK","FYG","MLK","ICE","FRV","FPO","FRF","FCC","BRD"}),1.28,IF(OR(MID(A358,5,3)={"BIS","CRP","HRB","TUR","IND","HYG"}),1.38,1.31)))),2)</f>
        <v>15.17</v>
      </c>
      <c r="I358" s="29">
        <f>(Table1[[#This Row],[SALE PRICE]]-Table1[[#This Row],[COST PRICE]])/Table1[[#This Row],[SALE PRICE]]</f>
        <v>0.27554383651944625</v>
      </c>
      <c r="J358" s="26" t="str">
        <f>IF(Table1[[#This Row],[MARGIN]]&lt;25%, "REVIEW", "OK")</f>
        <v>OK</v>
      </c>
    </row>
    <row r="359" spans="1:10" ht="15.6" x14ac:dyDescent="0.3">
      <c r="A359" s="18" t="s">
        <v>1618</v>
      </c>
      <c r="B359" s="13" t="s">
        <v>1770</v>
      </c>
      <c r="C359" s="13" t="s">
        <v>1426</v>
      </c>
      <c r="D359" s="11"/>
      <c r="E359" s="11"/>
      <c r="F359" s="13"/>
      <c r="G359" s="47">
        <v>57.99</v>
      </c>
      <c r="H359" s="47" cm="1">
        <f t="array" ref="H359">ROUND(G359*IF(OR(MID(A359,5,3)={"BFF","PRK","FPL","LMB","FFI","MET","RIC","FLR","SUG","OIL","DRK","JCE","FEG"}),1.21,IF(OR(MID(A359,5,3)={"FVG","FFR"}),1.33,IF(OR(MID(A359,5,3)={"FBT","FCH","FMK","FYG","MLK","ICE","FRV","FPO","FRF","FCC","BRD"}),1.28,IF(OR(MID(A359,5,3)={"BIS","CRP","HRB","TUR","IND","HYG"}),1.38,1.31)))),2)</f>
        <v>80.03</v>
      </c>
      <c r="I359" s="27">
        <f>(Table1[[#This Row],[SALE PRICE]]-Table1[[#This Row],[COST PRICE]])/Table1[[#This Row],[SALE PRICE]]</f>
        <v>0.27539672622766459</v>
      </c>
      <c r="J359" s="27" t="str">
        <f>IF(Table1[[#This Row],[MARGIN]]&lt;25%, "REVIEW", "OK")</f>
        <v>OK</v>
      </c>
    </row>
    <row r="360" spans="1:10" ht="15.6" x14ac:dyDescent="0.3">
      <c r="A360" s="17" t="s">
        <v>1619</v>
      </c>
      <c r="B360" s="12" t="s">
        <v>1771</v>
      </c>
      <c r="C360" s="12" t="s">
        <v>1430</v>
      </c>
      <c r="D360" s="10"/>
      <c r="E360" s="10"/>
      <c r="F360" s="12"/>
      <c r="G360" s="46">
        <v>8.49</v>
      </c>
      <c r="H360" s="46" cm="1">
        <f t="array" ref="H360">ROUND(G360*IF(OR(MID(A360,5,3)={"BFF","PRK","FPL","LMB","FFI","MET","RIC","FLR","SUG","OIL","DRK","JCE","FEG"}),1.21,IF(OR(MID(A360,5,3)={"FVG","FFR"}),1.33,IF(OR(MID(A360,5,3)={"FBT","FCH","FMK","FYG","MLK","ICE","FRV","FPO","FRF","FCC","BRD"}),1.28,IF(OR(MID(A360,5,3)={"BIS","CRP","HRB","TUR","IND","HYG"}),1.38,1.31)))),2)</f>
        <v>11.72</v>
      </c>
      <c r="I360" s="29">
        <f>(Table1[[#This Row],[SALE PRICE]]-Table1[[#This Row],[COST PRICE]])/Table1[[#This Row],[SALE PRICE]]</f>
        <v>0.27559726962457343</v>
      </c>
      <c r="J360" s="26" t="str">
        <f>IF(Table1[[#This Row],[MARGIN]]&lt;25%, "REVIEW", "OK")</f>
        <v>OK</v>
      </c>
    </row>
    <row r="361" spans="1:10" ht="15.6" x14ac:dyDescent="0.3">
      <c r="A361" s="18" t="s">
        <v>1620</v>
      </c>
      <c r="B361" s="13" t="s">
        <v>1772</v>
      </c>
      <c r="C361" s="13" t="s">
        <v>1426</v>
      </c>
      <c r="D361" s="11"/>
      <c r="E361" s="11"/>
      <c r="F361" s="13"/>
      <c r="G361" s="47">
        <v>42.49</v>
      </c>
      <c r="H361" s="47" cm="1">
        <f t="array" ref="H361">ROUND(G361*IF(OR(MID(A361,5,3)={"BFF","PRK","FPL","LMB","FFI","MET","RIC","FLR","SUG","OIL","DRK","JCE","FEG"}),1.21,IF(OR(MID(A361,5,3)={"FVG","FFR"}),1.33,IF(OR(MID(A361,5,3)={"FBT","FCH","FMK","FYG","MLK","ICE","FRV","FPO","FRF","FCC","BRD"}),1.28,IF(OR(MID(A361,5,3)={"BIS","CRP","HRB","TUR","IND","HYG"}),1.38,1.31)))),2)</f>
        <v>58.64</v>
      </c>
      <c r="I361" s="27">
        <f>(Table1[[#This Row],[SALE PRICE]]-Table1[[#This Row],[COST PRICE]])/Table1[[#This Row],[SALE PRICE]]</f>
        <v>0.27540927694406547</v>
      </c>
      <c r="J361" s="27" t="str">
        <f>IF(Table1[[#This Row],[MARGIN]]&lt;25%, "REVIEW", "OK")</f>
        <v>OK</v>
      </c>
    </row>
    <row r="362" spans="1:10" ht="15.6" x14ac:dyDescent="0.3">
      <c r="A362" s="17" t="s">
        <v>1621</v>
      </c>
      <c r="B362" s="12" t="s">
        <v>1773</v>
      </c>
      <c r="C362" s="12" t="s">
        <v>1430</v>
      </c>
      <c r="D362" s="10"/>
      <c r="E362" s="10"/>
      <c r="F362" s="12"/>
      <c r="G362" s="46">
        <v>4.49</v>
      </c>
      <c r="H362" s="46" cm="1">
        <f t="array" ref="H362">ROUND(G362*IF(OR(MID(A362,5,3)={"BFF","PRK","FPL","LMB","FFI","MET","RIC","FLR","SUG","OIL","DRK","JCE","FEG"}),1.21,IF(OR(MID(A362,5,3)={"FVG","FFR"}),1.33,IF(OR(MID(A362,5,3)={"FBT","FCH","FMK","FYG","MLK","ICE","FRV","FPO","FRF","FCC","BRD"}),1.28,IF(OR(MID(A362,5,3)={"BIS","CRP","HRB","TUR","IND","HYG"}),1.38,1.31)))),2)</f>
        <v>6.2</v>
      </c>
      <c r="I362" s="29">
        <f>(Table1[[#This Row],[SALE PRICE]]-Table1[[#This Row],[COST PRICE]])/Table1[[#This Row],[SALE PRICE]]</f>
        <v>0.27580645161290324</v>
      </c>
      <c r="J362" s="26" t="str">
        <f>IF(Table1[[#This Row],[MARGIN]]&lt;25%, "REVIEW", "OK")</f>
        <v>OK</v>
      </c>
    </row>
    <row r="363" spans="1:10" ht="15.6" x14ac:dyDescent="0.3">
      <c r="A363" s="18" t="s">
        <v>1622</v>
      </c>
      <c r="B363" s="13" t="s">
        <v>1774</v>
      </c>
      <c r="C363" s="13" t="s">
        <v>1426</v>
      </c>
      <c r="D363" s="11"/>
      <c r="E363" s="11"/>
      <c r="F363" s="13"/>
      <c r="G363" s="47">
        <v>19.489999999999998</v>
      </c>
      <c r="H363" s="47" cm="1">
        <f t="array" ref="H363">ROUND(G363*IF(OR(MID(A363,5,3)={"BFF","PRK","FPL","LMB","FFI","MET","RIC","FLR","SUG","OIL","DRK","JCE","FEG"}),1.21,IF(OR(MID(A363,5,3)={"FVG","FFR"}),1.33,IF(OR(MID(A363,5,3)={"FBT","FCH","FMK","FYG","MLK","ICE","FRV","FPO","FRF","FCC","BRD"}),1.28,IF(OR(MID(A363,5,3)={"BIS","CRP","HRB","TUR","IND","HYG"}),1.38,1.31)))),2)</f>
        <v>26.9</v>
      </c>
      <c r="I363" s="27">
        <f>(Table1[[#This Row],[SALE PRICE]]-Table1[[#This Row],[COST PRICE]])/Table1[[#This Row],[SALE PRICE]]</f>
        <v>0.2754646840148699</v>
      </c>
      <c r="J363" s="27" t="str">
        <f>IF(Table1[[#This Row],[MARGIN]]&lt;25%, "REVIEW", "OK")</f>
        <v>OK</v>
      </c>
    </row>
    <row r="364" spans="1:10" ht="15.6" x14ac:dyDescent="0.3">
      <c r="A364" s="17" t="s">
        <v>1623</v>
      </c>
      <c r="B364" s="12" t="s">
        <v>1775</v>
      </c>
      <c r="C364" s="12" t="s">
        <v>1430</v>
      </c>
      <c r="D364" s="10"/>
      <c r="E364" s="10"/>
      <c r="F364" s="12"/>
      <c r="G364" s="46">
        <v>6.99</v>
      </c>
      <c r="H364" s="46" cm="1">
        <f t="array" ref="H364">ROUND(G364*IF(OR(MID(A364,5,3)={"BFF","PRK","FPL","LMB","FFI","MET","RIC","FLR","SUG","OIL","DRK","JCE","FEG"}),1.21,IF(OR(MID(A364,5,3)={"FVG","FFR"}),1.33,IF(OR(MID(A364,5,3)={"FBT","FCH","FMK","FYG","MLK","ICE","FRV","FPO","FRF","FCC","BRD"}),1.28,IF(OR(MID(A364,5,3)={"BIS","CRP","HRB","TUR","IND","HYG"}),1.38,1.31)))),2)</f>
        <v>9.65</v>
      </c>
      <c r="I364" s="29">
        <f>(Table1[[#This Row],[SALE PRICE]]-Table1[[#This Row],[COST PRICE]])/Table1[[#This Row],[SALE PRICE]]</f>
        <v>0.27564766839378241</v>
      </c>
      <c r="J364" s="26" t="str">
        <f>IF(Table1[[#This Row],[MARGIN]]&lt;25%, "REVIEW", "OK")</f>
        <v>OK</v>
      </c>
    </row>
    <row r="365" spans="1:10" ht="15.6" x14ac:dyDescent="0.3">
      <c r="A365" s="18" t="s">
        <v>1624</v>
      </c>
      <c r="B365" s="13" t="s">
        <v>1776</v>
      </c>
      <c r="C365" s="13" t="s">
        <v>1426</v>
      </c>
      <c r="D365" s="11"/>
      <c r="E365" s="11"/>
      <c r="F365" s="13"/>
      <c r="G365" s="47">
        <v>39.99</v>
      </c>
      <c r="H365" s="47" cm="1">
        <f t="array" ref="H365">ROUND(G365*IF(OR(MID(A365,5,3)={"BFF","PRK","FPL","LMB","FFI","MET","RIC","FLR","SUG","OIL","DRK","JCE","FEG"}),1.21,IF(OR(MID(A365,5,3)={"FVG","FFR"}),1.33,IF(OR(MID(A365,5,3)={"FBT","FCH","FMK","FYG","MLK","ICE","FRV","FPO","FRF","FCC","BRD"}),1.28,IF(OR(MID(A365,5,3)={"BIS","CRP","HRB","TUR","IND","HYG"}),1.38,1.31)))),2)</f>
        <v>55.19</v>
      </c>
      <c r="I365" s="27">
        <f>(Table1[[#This Row],[SALE PRICE]]-Table1[[#This Row],[COST PRICE]])/Table1[[#This Row],[SALE PRICE]]</f>
        <v>0.27541221235731106</v>
      </c>
      <c r="J365" s="27" t="str">
        <f>IF(Table1[[#This Row],[MARGIN]]&lt;25%, "REVIEW", "OK")</f>
        <v>OK</v>
      </c>
    </row>
    <row r="366" spans="1:10" ht="15.6" x14ac:dyDescent="0.3">
      <c r="A366" s="17" t="s">
        <v>1625</v>
      </c>
      <c r="B366" s="12" t="s">
        <v>1777</v>
      </c>
      <c r="C366" s="12" t="s">
        <v>1430</v>
      </c>
      <c r="D366" s="10"/>
      <c r="E366" s="10"/>
      <c r="F366" s="12"/>
      <c r="G366" s="46">
        <v>5.89</v>
      </c>
      <c r="H366" s="46" cm="1">
        <f t="array" ref="H366">ROUND(G366*IF(OR(MID(A366,5,3)={"BFF","PRK","FPL","LMB","FFI","MET","RIC","FLR","SUG","OIL","DRK","JCE","FEG"}),1.21,IF(OR(MID(A366,5,3)={"FVG","FFR"}),1.33,IF(OR(MID(A366,5,3)={"FBT","FCH","FMK","FYG","MLK","ICE","FRV","FPO","FRF","FCC","BRD"}),1.28,IF(OR(MID(A366,5,3)={"BIS","CRP","HRB","TUR","IND","HYG"}),1.38,1.31)))),2)</f>
        <v>8.1300000000000008</v>
      </c>
      <c r="I366" s="29">
        <f>(Table1[[#This Row],[SALE PRICE]]-Table1[[#This Row],[COST PRICE]])/Table1[[#This Row],[SALE PRICE]]</f>
        <v>0.27552275522755237</v>
      </c>
      <c r="J366" s="26" t="str">
        <f>IF(Table1[[#This Row],[MARGIN]]&lt;25%, "REVIEW", "OK")</f>
        <v>OK</v>
      </c>
    </row>
    <row r="367" spans="1:10" ht="15.6" x14ac:dyDescent="0.3">
      <c r="A367" s="18" t="s">
        <v>1626</v>
      </c>
      <c r="B367" s="13" t="s">
        <v>1778</v>
      </c>
      <c r="C367" s="13" t="s">
        <v>1426</v>
      </c>
      <c r="D367" s="11"/>
      <c r="E367" s="11"/>
      <c r="F367" s="13"/>
      <c r="G367" s="47">
        <v>34.99</v>
      </c>
      <c r="H367" s="47" cm="1">
        <f t="array" ref="H367">ROUND(G367*IF(OR(MID(A367,5,3)={"BFF","PRK","FPL","LMB","FFI","MET","RIC","FLR","SUG","OIL","DRK","JCE","FEG"}),1.21,IF(OR(MID(A367,5,3)={"FVG","FFR"}),1.33,IF(OR(MID(A367,5,3)={"FBT","FCH","FMK","FYG","MLK","ICE","FRV","FPO","FRF","FCC","BRD"}),1.28,IF(OR(MID(A367,5,3)={"BIS","CRP","HRB","TUR","IND","HYG"}),1.38,1.31)))),2)</f>
        <v>48.29</v>
      </c>
      <c r="I367" s="27">
        <f>(Table1[[#This Row],[SALE PRICE]]-Table1[[#This Row],[COST PRICE]])/Table1[[#This Row],[SALE PRICE]]</f>
        <v>0.27541934147856695</v>
      </c>
      <c r="J367" s="27" t="str">
        <f>IF(Table1[[#This Row],[MARGIN]]&lt;25%, "REVIEW", "OK")</f>
        <v>OK</v>
      </c>
    </row>
    <row r="368" spans="1:10" ht="15.6" x14ac:dyDescent="0.3">
      <c r="A368" s="17" t="s">
        <v>1627</v>
      </c>
      <c r="B368" s="12" t="s">
        <v>1779</v>
      </c>
      <c r="C368" s="12" t="s">
        <v>1430</v>
      </c>
      <c r="D368" s="10"/>
      <c r="E368" s="10"/>
      <c r="F368" s="12"/>
      <c r="G368" s="46">
        <v>5.99</v>
      </c>
      <c r="H368" s="46" cm="1">
        <f t="array" ref="H368">ROUND(G368*IF(OR(MID(A368,5,3)={"BFF","PRK","FPL","LMB","FFI","MET","RIC","FLR","SUG","OIL","DRK","JCE","FEG"}),1.21,IF(OR(MID(A368,5,3)={"FVG","FFR"}),1.33,IF(OR(MID(A368,5,3)={"FBT","FCH","FMK","FYG","MLK","ICE","FRV","FPO","FRF","FCC","BRD"}),1.28,IF(OR(MID(A368,5,3)={"BIS","CRP","HRB","TUR","IND","HYG"}),1.38,1.31)))),2)</f>
        <v>8.27</v>
      </c>
      <c r="I368" s="29">
        <f>(Table1[[#This Row],[SALE PRICE]]-Table1[[#This Row],[COST PRICE]])/Table1[[#This Row],[SALE PRICE]]</f>
        <v>0.27569528415961297</v>
      </c>
      <c r="J368" s="26" t="str">
        <f>IF(Table1[[#This Row],[MARGIN]]&lt;25%, "REVIEW", "OK")</f>
        <v>OK</v>
      </c>
    </row>
    <row r="369" spans="1:10" ht="15.6" x14ac:dyDescent="0.3">
      <c r="A369" s="18" t="s">
        <v>1628</v>
      </c>
      <c r="B369" s="13" t="s">
        <v>1780</v>
      </c>
      <c r="C369" s="13" t="s">
        <v>1426</v>
      </c>
      <c r="D369" s="11"/>
      <c r="E369" s="11"/>
      <c r="F369" s="13"/>
      <c r="G369" s="47">
        <v>32.99</v>
      </c>
      <c r="H369" s="47" cm="1">
        <f t="array" ref="H369">ROUND(G369*IF(OR(MID(A369,5,3)={"BFF","PRK","FPL","LMB","FFI","MET","RIC","FLR","SUG","OIL","DRK","JCE","FEG"}),1.21,IF(OR(MID(A369,5,3)={"FVG","FFR"}),1.33,IF(OR(MID(A369,5,3)={"FBT","FCH","FMK","FYG","MLK","ICE","FRV","FPO","FRF","FCC","BRD"}),1.28,IF(OR(MID(A369,5,3)={"BIS","CRP","HRB","TUR","IND","HYG"}),1.38,1.31)))),2)</f>
        <v>45.53</v>
      </c>
      <c r="I369" s="27">
        <f>(Table1[[#This Row],[SALE PRICE]]-Table1[[#This Row],[COST PRICE]])/Table1[[#This Row],[SALE PRICE]]</f>
        <v>0.2754227981550626</v>
      </c>
      <c r="J369" s="27" t="str">
        <f>IF(Table1[[#This Row],[MARGIN]]&lt;25%, "REVIEW", "OK")</f>
        <v>OK</v>
      </c>
    </row>
    <row r="370" spans="1:10" ht="15.6" x14ac:dyDescent="0.3">
      <c r="A370" s="17" t="s">
        <v>1629</v>
      </c>
      <c r="B370" s="12" t="s">
        <v>1781</v>
      </c>
      <c r="C370" s="12" t="s">
        <v>1430</v>
      </c>
      <c r="D370" s="10"/>
      <c r="E370" s="10"/>
      <c r="F370" s="12"/>
      <c r="G370" s="46">
        <v>3.49</v>
      </c>
      <c r="H370" s="46" cm="1">
        <f t="array" ref="H370">ROUND(G370*IF(OR(MID(A370,5,3)={"BFF","PRK","FPL","LMB","FFI","MET","RIC","FLR","SUG","OIL","DRK","JCE","FEG"}),1.21,IF(OR(MID(A370,5,3)={"FVG","FFR"}),1.33,IF(OR(MID(A370,5,3)={"FBT","FCH","FMK","FYG","MLK","ICE","FRV","FPO","FRF","FCC","BRD"}),1.28,IF(OR(MID(A370,5,3)={"BIS","CRP","HRB","TUR","IND","HYG"}),1.38,1.31)))),2)</f>
        <v>4.82</v>
      </c>
      <c r="I370" s="29">
        <f>(Table1[[#This Row],[SALE PRICE]]-Table1[[#This Row],[COST PRICE]])/Table1[[#This Row],[SALE PRICE]]</f>
        <v>0.27593360995850624</v>
      </c>
      <c r="J370" s="26" t="str">
        <f>IF(Table1[[#This Row],[MARGIN]]&lt;25%, "REVIEW", "OK")</f>
        <v>OK</v>
      </c>
    </row>
    <row r="371" spans="1:10" ht="15.6" x14ac:dyDescent="0.3">
      <c r="A371" s="18" t="s">
        <v>1630</v>
      </c>
      <c r="B371" s="13" t="s">
        <v>1782</v>
      </c>
      <c r="C371" s="13" t="s">
        <v>1426</v>
      </c>
      <c r="D371" s="11"/>
      <c r="E371" s="11"/>
      <c r="F371" s="13"/>
      <c r="G371" s="47">
        <v>19.989999999999998</v>
      </c>
      <c r="H371" s="47" cm="1">
        <f t="array" ref="H371">ROUND(G371*IF(OR(MID(A371,5,3)={"BFF","PRK","FPL","LMB","FFI","MET","RIC","FLR","SUG","OIL","DRK","JCE","FEG"}),1.21,IF(OR(MID(A371,5,3)={"FVG","FFR"}),1.33,IF(OR(MID(A371,5,3)={"FBT","FCH","FMK","FYG","MLK","ICE","FRV","FPO","FRF","FCC","BRD"}),1.28,IF(OR(MID(A371,5,3)={"BIS","CRP","HRB","TUR","IND","HYG"}),1.38,1.31)))),2)</f>
        <v>27.59</v>
      </c>
      <c r="I371" s="27">
        <f>(Table1[[#This Row],[SALE PRICE]]-Table1[[#This Row],[COST PRICE]])/Table1[[#This Row],[SALE PRICE]]</f>
        <v>0.27546212395795583</v>
      </c>
      <c r="J371" s="27" t="str">
        <f>IF(Table1[[#This Row],[MARGIN]]&lt;25%, "REVIEW", "OK")</f>
        <v>OK</v>
      </c>
    </row>
    <row r="372" spans="1:10" ht="15.6" x14ac:dyDescent="0.3">
      <c r="A372" s="17" t="s">
        <v>1631</v>
      </c>
      <c r="B372" s="12" t="s">
        <v>1783</v>
      </c>
      <c r="C372" s="12" t="s">
        <v>1430</v>
      </c>
      <c r="D372" s="10"/>
      <c r="E372" s="10"/>
      <c r="F372" s="12"/>
      <c r="G372" s="46">
        <v>7.99</v>
      </c>
      <c r="H372" s="46" cm="1">
        <f t="array" ref="H372">ROUND(G372*IF(OR(MID(A372,5,3)={"BFF","PRK","FPL","LMB","FFI","MET","RIC","FLR","SUG","OIL","DRK","JCE","FEG"}),1.21,IF(OR(MID(A372,5,3)={"FVG","FFR"}),1.33,IF(OR(MID(A372,5,3)={"FBT","FCH","FMK","FYG","MLK","ICE","FRV","FPO","FRF","FCC","BRD"}),1.28,IF(OR(MID(A372,5,3)={"BIS","CRP","HRB","TUR","IND","HYG"}),1.38,1.31)))),2)</f>
        <v>11.03</v>
      </c>
      <c r="I372" s="29">
        <f>(Table1[[#This Row],[SALE PRICE]]-Table1[[#This Row],[COST PRICE]])/Table1[[#This Row],[SALE PRICE]]</f>
        <v>0.27561196736174065</v>
      </c>
      <c r="J372" s="26" t="str">
        <f>IF(Table1[[#This Row],[MARGIN]]&lt;25%, "REVIEW", "OK")</f>
        <v>OK</v>
      </c>
    </row>
    <row r="373" spans="1:10" ht="15.6" x14ac:dyDescent="0.3">
      <c r="A373" s="18" t="s">
        <v>1632</v>
      </c>
      <c r="B373" s="13" t="s">
        <v>1784</v>
      </c>
      <c r="C373" s="13" t="s">
        <v>1426</v>
      </c>
      <c r="D373" s="11"/>
      <c r="E373" s="11"/>
      <c r="F373" s="13"/>
      <c r="G373" s="47">
        <v>45.99</v>
      </c>
      <c r="H373" s="47" cm="1">
        <f t="array" ref="H373">ROUND(G373*IF(OR(MID(A373,5,3)={"BFF","PRK","FPL","LMB","FFI","MET","RIC","FLR","SUG","OIL","DRK","JCE","FEG"}),1.21,IF(OR(MID(A373,5,3)={"FVG","FFR"}),1.33,IF(OR(MID(A373,5,3)={"FBT","FCH","FMK","FYG","MLK","ICE","FRV","FPO","FRF","FCC","BRD"}),1.28,IF(OR(MID(A373,5,3)={"BIS","CRP","HRB","TUR","IND","HYG"}),1.38,1.31)))),2)</f>
        <v>63.47</v>
      </c>
      <c r="I373" s="27">
        <f>(Table1[[#This Row],[SALE PRICE]]-Table1[[#This Row],[COST PRICE]])/Table1[[#This Row],[SALE PRICE]]</f>
        <v>0.27540570348195992</v>
      </c>
      <c r="J373" s="27" t="str">
        <f>IF(Table1[[#This Row],[MARGIN]]&lt;25%, "REVIEW", "OK")</f>
        <v>OK</v>
      </c>
    </row>
    <row r="374" spans="1:10" ht="31.2" x14ac:dyDescent="0.3">
      <c r="A374" s="17" t="s">
        <v>1633</v>
      </c>
      <c r="B374" s="12" t="s">
        <v>1785</v>
      </c>
      <c r="C374" s="12" t="s">
        <v>1430</v>
      </c>
      <c r="D374" s="10"/>
      <c r="E374" s="10"/>
      <c r="F374" s="12"/>
      <c r="G374" s="46">
        <v>6.99</v>
      </c>
      <c r="H374" s="46" cm="1">
        <f t="array" ref="H374">ROUND(G374*IF(OR(MID(A374,5,3)={"BFF","PRK","FPL","LMB","FFI","MET","RIC","FLR","SUG","OIL","DRK","JCE","FEG"}),1.21,IF(OR(MID(A374,5,3)={"FVG","FFR"}),1.33,IF(OR(MID(A374,5,3)={"FBT","FCH","FMK","FYG","MLK","ICE","FRV","FPO","FRF","FCC","BRD"}),1.28,IF(OR(MID(A374,5,3)={"BIS","CRP","HRB","TUR","IND","HYG"}),1.38,1.31)))),2)</f>
        <v>9.65</v>
      </c>
      <c r="I374" s="29">
        <f>(Table1[[#This Row],[SALE PRICE]]-Table1[[#This Row],[COST PRICE]])/Table1[[#This Row],[SALE PRICE]]</f>
        <v>0.27564766839378241</v>
      </c>
      <c r="J374" s="26" t="str">
        <f>IF(Table1[[#This Row],[MARGIN]]&lt;25%, "REVIEW", "OK")</f>
        <v>OK</v>
      </c>
    </row>
    <row r="375" spans="1:10" ht="31.2" x14ac:dyDescent="0.3">
      <c r="A375" s="18" t="s">
        <v>1634</v>
      </c>
      <c r="B375" s="13" t="s">
        <v>1786</v>
      </c>
      <c r="C375" s="13" t="s">
        <v>1426</v>
      </c>
      <c r="D375" s="11"/>
      <c r="E375" s="11"/>
      <c r="F375" s="13"/>
      <c r="G375" s="47">
        <v>39.99</v>
      </c>
      <c r="H375" s="47" cm="1">
        <f t="array" ref="H375">ROUND(G375*IF(OR(MID(A375,5,3)={"BFF","PRK","FPL","LMB","FFI","MET","RIC","FLR","SUG","OIL","DRK","JCE","FEG"}),1.21,IF(OR(MID(A375,5,3)={"FVG","FFR"}),1.33,IF(OR(MID(A375,5,3)={"FBT","FCH","FMK","FYG","MLK","ICE","FRV","FPO","FRF","FCC","BRD"}),1.28,IF(OR(MID(A375,5,3)={"BIS","CRP","HRB","TUR","IND","HYG"}),1.38,1.31)))),2)</f>
        <v>55.19</v>
      </c>
      <c r="I375" s="27">
        <f>(Table1[[#This Row],[SALE PRICE]]-Table1[[#This Row],[COST PRICE]])/Table1[[#This Row],[SALE PRICE]]</f>
        <v>0.27541221235731106</v>
      </c>
      <c r="J375" s="27" t="str">
        <f>IF(Table1[[#This Row],[MARGIN]]&lt;25%, "REVIEW", "OK")</f>
        <v>OK</v>
      </c>
    </row>
    <row r="376" spans="1:10" ht="15.6" x14ac:dyDescent="0.3">
      <c r="A376" s="17" t="s">
        <v>1635</v>
      </c>
      <c r="B376" s="12" t="s">
        <v>1787</v>
      </c>
      <c r="C376" s="12" t="s">
        <v>1430</v>
      </c>
      <c r="D376" s="10"/>
      <c r="E376" s="10"/>
      <c r="F376" s="12"/>
      <c r="G376" s="46">
        <v>7.99</v>
      </c>
      <c r="H376" s="46" cm="1">
        <f t="array" ref="H376">ROUND(G376*IF(OR(MID(A376,5,3)={"BFF","PRK","FPL","LMB","FFI","MET","RIC","FLR","SUG","OIL","DRK","JCE","FEG"}),1.21,IF(OR(MID(A376,5,3)={"FVG","FFR"}),1.33,IF(OR(MID(A376,5,3)={"FBT","FCH","FMK","FYG","MLK","ICE","FRV","FPO","FRF","FCC","BRD"}),1.28,IF(OR(MID(A376,5,3)={"BIS","CRP","HRB","TUR","IND","HYG"}),1.38,1.31)))),2)</f>
        <v>11.03</v>
      </c>
      <c r="I376" s="29">
        <f>(Table1[[#This Row],[SALE PRICE]]-Table1[[#This Row],[COST PRICE]])/Table1[[#This Row],[SALE PRICE]]</f>
        <v>0.27561196736174065</v>
      </c>
      <c r="J376" s="26" t="str">
        <f>IF(Table1[[#This Row],[MARGIN]]&lt;25%, "REVIEW", "OK")</f>
        <v>OK</v>
      </c>
    </row>
    <row r="377" spans="1:10" ht="15.6" x14ac:dyDescent="0.3">
      <c r="A377" s="18" t="s">
        <v>1636</v>
      </c>
      <c r="B377" s="13" t="s">
        <v>1788</v>
      </c>
      <c r="C377" s="13" t="s">
        <v>1426</v>
      </c>
      <c r="D377" s="11"/>
      <c r="E377" s="11"/>
      <c r="F377" s="13"/>
      <c r="G377" s="47">
        <v>43.99</v>
      </c>
      <c r="H377" s="47" cm="1">
        <f t="array" ref="H377">ROUND(G377*IF(OR(MID(A377,5,3)={"BFF","PRK","FPL","LMB","FFI","MET","RIC","FLR","SUG","OIL","DRK","JCE","FEG"}),1.21,IF(OR(MID(A377,5,3)={"FVG","FFR"}),1.33,IF(OR(MID(A377,5,3)={"FBT","FCH","FMK","FYG","MLK","ICE","FRV","FPO","FRF","FCC","BRD"}),1.28,IF(OR(MID(A377,5,3)={"BIS","CRP","HRB","TUR","IND","HYG"}),1.38,1.31)))),2)</f>
        <v>60.71</v>
      </c>
      <c r="I377" s="27">
        <f>(Table1[[#This Row],[SALE PRICE]]-Table1[[#This Row],[COST PRICE]])/Table1[[#This Row],[SALE PRICE]]</f>
        <v>0.27540767583594133</v>
      </c>
      <c r="J377" s="27" t="str">
        <f>IF(Table1[[#This Row],[MARGIN]]&lt;25%, "REVIEW", "OK")</f>
        <v>OK</v>
      </c>
    </row>
    <row r="378" spans="1:10" ht="15.6" x14ac:dyDescent="0.3">
      <c r="A378" s="17" t="s">
        <v>1637</v>
      </c>
      <c r="B378" s="12" t="s">
        <v>1638</v>
      </c>
      <c r="C378" s="12" t="s">
        <v>1430</v>
      </c>
      <c r="D378" s="10"/>
      <c r="E378" s="10"/>
      <c r="F378" s="12"/>
      <c r="G378" s="46">
        <v>8.99</v>
      </c>
      <c r="H378" s="46" cm="1">
        <f t="array" ref="H378">ROUND(G378*IF(OR(MID(A378,5,3)={"BFF","PRK","FPL","LMB","FFI","MET","RIC","FLR","SUG","OIL","DRK","JCE","FEG"}),1.21,IF(OR(MID(A378,5,3)={"FVG","FFR"}),1.33,IF(OR(MID(A378,5,3)={"FBT","FCH","FMK","FYG","MLK","ICE","FRV","FPO","FRF","FCC","BRD"}),1.28,IF(OR(MID(A378,5,3)={"BIS","CRP","HRB","TUR","IND","HYG"}),1.38,1.31)))),2)</f>
        <v>12.41</v>
      </c>
      <c r="I378" s="29">
        <f>(Table1[[#This Row],[SALE PRICE]]-Table1[[#This Row],[COST PRICE]])/Table1[[#This Row],[SALE PRICE]]</f>
        <v>0.27558420628525382</v>
      </c>
      <c r="J378" s="26" t="str">
        <f>IF(Table1[[#This Row],[MARGIN]]&lt;25%, "REVIEW", "OK")</f>
        <v>OK</v>
      </c>
    </row>
    <row r="379" spans="1:10" ht="15.6" x14ac:dyDescent="0.3">
      <c r="A379" s="18" t="s">
        <v>1639</v>
      </c>
      <c r="B379" s="13" t="s">
        <v>1640</v>
      </c>
      <c r="C379" s="13" t="s">
        <v>1426</v>
      </c>
      <c r="D379" s="11"/>
      <c r="E379" s="11"/>
      <c r="F379" s="13"/>
      <c r="G379" s="47">
        <v>33.99</v>
      </c>
      <c r="H379" s="47" cm="1">
        <f t="array" ref="H379">ROUND(G379*IF(OR(MID(A379,5,3)={"BFF","PRK","FPL","LMB","FFI","MET","RIC","FLR","SUG","OIL","DRK","JCE","FEG"}),1.21,IF(OR(MID(A379,5,3)={"FVG","FFR"}),1.33,IF(OR(MID(A379,5,3)={"FBT","FCH","FMK","FYG","MLK","ICE","FRV","FPO","FRF","FCC","BRD"}),1.28,IF(OR(MID(A379,5,3)={"BIS","CRP","HRB","TUR","IND","HYG"}),1.38,1.31)))),2)</f>
        <v>46.91</v>
      </c>
      <c r="I379" s="27">
        <f>(Table1[[#This Row],[SALE PRICE]]-Table1[[#This Row],[COST PRICE]])/Table1[[#This Row],[SALE PRICE]]</f>
        <v>0.27542101897250043</v>
      </c>
      <c r="J379" s="27" t="str">
        <f>IF(Table1[[#This Row],[MARGIN]]&lt;25%, "REVIEW", "OK")</f>
        <v>OK</v>
      </c>
    </row>
    <row r="380" spans="1:10" ht="15.6" x14ac:dyDescent="0.3">
      <c r="A380" s="17" t="s">
        <v>1641</v>
      </c>
      <c r="B380" s="12" t="s">
        <v>1789</v>
      </c>
      <c r="C380" s="12" t="s">
        <v>1430</v>
      </c>
      <c r="D380" s="10"/>
      <c r="E380" s="10"/>
      <c r="F380" s="12"/>
      <c r="G380" s="46">
        <v>2.99</v>
      </c>
      <c r="H380" s="46" cm="1">
        <f t="array" ref="H380">ROUND(G380*IF(OR(MID(A380,5,3)={"BFF","PRK","FPL","LMB","FFI","MET","RIC","FLR","SUG","OIL","DRK","JCE","FEG"}),1.21,IF(OR(MID(A380,5,3)={"FVG","FFR"}),1.33,IF(OR(MID(A380,5,3)={"FBT","FCH","FMK","FYG","MLK","ICE","FRV","FPO","FRF","FCC","BRD"}),1.28,IF(OR(MID(A380,5,3)={"BIS","CRP","HRB","TUR","IND","HYG"}),1.38,1.31)))),2)</f>
        <v>4.13</v>
      </c>
      <c r="I380" s="29">
        <f>(Table1[[#This Row],[SALE PRICE]]-Table1[[#This Row],[COST PRICE]])/Table1[[#This Row],[SALE PRICE]]</f>
        <v>0.27602905569007258</v>
      </c>
      <c r="J380" s="26" t="str">
        <f>IF(Table1[[#This Row],[MARGIN]]&lt;25%, "REVIEW", "OK")</f>
        <v>OK</v>
      </c>
    </row>
    <row r="381" spans="1:10" ht="15.6" x14ac:dyDescent="0.3">
      <c r="A381" s="18" t="s">
        <v>1642</v>
      </c>
      <c r="B381" s="13" t="s">
        <v>1790</v>
      </c>
      <c r="C381" s="13" t="s">
        <v>1426</v>
      </c>
      <c r="D381" s="11"/>
      <c r="E381" s="11"/>
      <c r="F381" s="13"/>
      <c r="G381" s="47">
        <v>14.29</v>
      </c>
      <c r="H381" s="47" cm="1">
        <f t="array" ref="H381">ROUND(G381*IF(OR(MID(A381,5,3)={"BFF","PRK","FPL","LMB","FFI","MET","RIC","FLR","SUG","OIL","DRK","JCE","FEG"}),1.21,IF(OR(MID(A381,5,3)={"FVG","FFR"}),1.33,IF(OR(MID(A381,5,3)={"FBT","FCH","FMK","FYG","MLK","ICE","FRV","FPO","FRF","FCC","BRD"}),1.28,IF(OR(MID(A381,5,3)={"BIS","CRP","HRB","TUR","IND","HYG"}),1.38,1.31)))),2)</f>
        <v>19.72</v>
      </c>
      <c r="I381" s="27">
        <f>(Table1[[#This Row],[SALE PRICE]]-Table1[[#This Row],[COST PRICE]])/Table1[[#This Row],[SALE PRICE]]</f>
        <v>0.27535496957403649</v>
      </c>
      <c r="J381" s="27" t="str">
        <f>IF(Table1[[#This Row],[MARGIN]]&lt;25%, "REVIEW", "OK")</f>
        <v>OK</v>
      </c>
    </row>
    <row r="382" spans="1:10" ht="31.2" x14ac:dyDescent="0.3">
      <c r="A382" s="17" t="s">
        <v>1643</v>
      </c>
      <c r="B382" s="12" t="s">
        <v>1791</v>
      </c>
      <c r="C382" s="12" t="s">
        <v>1430</v>
      </c>
      <c r="D382" s="10"/>
      <c r="E382" s="10"/>
      <c r="F382" s="12"/>
      <c r="G382" s="46">
        <v>19.989999999999998</v>
      </c>
      <c r="H382" s="46" cm="1">
        <f t="array" ref="H382">ROUND(G382*IF(OR(MID(A382,5,3)={"BFF","PRK","FPL","LMB","FFI","MET","RIC","FLR","SUG","OIL","DRK","JCE","FEG"}),1.21,IF(OR(MID(A382,5,3)={"FVG","FFR"}),1.33,IF(OR(MID(A382,5,3)={"FBT","FCH","FMK","FYG","MLK","ICE","FRV","FPO","FRF","FCC","BRD"}),1.28,IF(OR(MID(A382,5,3)={"BIS","CRP","HRB","TUR","IND","HYG"}),1.38,1.31)))),2)</f>
        <v>27.59</v>
      </c>
      <c r="I382" s="29">
        <f>(Table1[[#This Row],[SALE PRICE]]-Table1[[#This Row],[COST PRICE]])/Table1[[#This Row],[SALE PRICE]]</f>
        <v>0.27546212395795583</v>
      </c>
      <c r="J382" s="26" t="str">
        <f>IF(Table1[[#This Row],[MARGIN]]&lt;25%, "REVIEW", "OK")</f>
        <v>OK</v>
      </c>
    </row>
    <row r="383" spans="1:10" ht="31.2" x14ac:dyDescent="0.3">
      <c r="A383" s="18" t="s">
        <v>1644</v>
      </c>
      <c r="B383" s="13" t="s">
        <v>1792</v>
      </c>
      <c r="C383" s="13" t="s">
        <v>1426</v>
      </c>
      <c r="D383" s="11"/>
      <c r="E383" s="11"/>
      <c r="F383" s="13"/>
      <c r="G383" s="47">
        <v>107.89</v>
      </c>
      <c r="H383" s="47" cm="1">
        <f t="array" ref="H383">ROUND(G383*IF(OR(MID(A383,5,3)={"BFF","PRK","FPL","LMB","FFI","MET","RIC","FLR","SUG","OIL","DRK","JCE","FEG"}),1.21,IF(OR(MID(A383,5,3)={"FVG","FFR"}),1.33,IF(OR(MID(A383,5,3)={"FBT","FCH","FMK","FYG","MLK","ICE","FRV","FPO","FRF","FCC","BRD"}),1.28,IF(OR(MID(A383,5,3)={"BIS","CRP","HRB","TUR","IND","HYG"}),1.38,1.31)))),2)</f>
        <v>148.88999999999999</v>
      </c>
      <c r="I383" s="27">
        <f>(Table1[[#This Row],[SALE PRICE]]-Table1[[#This Row],[COST PRICE]])/Table1[[#This Row],[SALE PRICE]]</f>
        <v>0.27537107932030352</v>
      </c>
      <c r="J383" s="27" t="str">
        <f>IF(Table1[[#This Row],[MARGIN]]&lt;25%, "REVIEW", "OK")</f>
        <v>OK</v>
      </c>
    </row>
    <row r="384" spans="1:10" ht="15.6" x14ac:dyDescent="0.3">
      <c r="A384" s="17" t="s">
        <v>1645</v>
      </c>
      <c r="B384" s="12" t="s">
        <v>1793</v>
      </c>
      <c r="C384" s="12" t="s">
        <v>1430</v>
      </c>
      <c r="D384" s="10"/>
      <c r="E384" s="10"/>
      <c r="F384" s="12"/>
      <c r="G384" s="46">
        <v>6.79</v>
      </c>
      <c r="H384" s="46" cm="1">
        <f t="array" ref="H384">ROUND(G384*IF(OR(MID(A384,5,3)={"BFF","PRK","FPL","LMB","FFI","MET","RIC","FLR","SUG","OIL","DRK","JCE","FEG"}),1.21,IF(OR(MID(A384,5,3)={"FVG","FFR"}),1.33,IF(OR(MID(A384,5,3)={"FBT","FCH","FMK","FYG","MLK","ICE","FRV","FPO","FRF","FCC","BRD"}),1.28,IF(OR(MID(A384,5,3)={"BIS","CRP","HRB","TUR","IND","HYG"}),1.38,1.31)))),2)</f>
        <v>9.3699999999999992</v>
      </c>
      <c r="I384" s="29">
        <f>(Table1[[#This Row],[SALE PRICE]]-Table1[[#This Row],[COST PRICE]])/Table1[[#This Row],[SALE PRICE]]</f>
        <v>0.27534685165421552</v>
      </c>
      <c r="J384" s="26" t="str">
        <f>IF(Table1[[#This Row],[MARGIN]]&lt;25%, "REVIEW", "OK")</f>
        <v>OK</v>
      </c>
    </row>
    <row r="385" spans="1:10" ht="15.6" x14ac:dyDescent="0.3">
      <c r="A385" s="18" t="s">
        <v>1646</v>
      </c>
      <c r="B385" s="13" t="s">
        <v>1794</v>
      </c>
      <c r="C385" s="13" t="s">
        <v>1426</v>
      </c>
      <c r="D385" s="11"/>
      <c r="E385" s="11"/>
      <c r="F385" s="13"/>
      <c r="G385" s="47">
        <v>40.49</v>
      </c>
      <c r="H385" s="47" cm="1">
        <f t="array" ref="H385">ROUND(G385*IF(OR(MID(A385,5,3)={"BFF","PRK","FPL","LMB","FFI","MET","RIC","FLR","SUG","OIL","DRK","JCE","FEG"}),1.21,IF(OR(MID(A385,5,3)={"FVG","FFR"}),1.33,IF(OR(MID(A385,5,3)={"FBT","FCH","FMK","FYG","MLK","ICE","FRV","FPO","FRF","FCC","BRD"}),1.28,IF(OR(MID(A385,5,3)={"BIS","CRP","HRB","TUR","IND","HYG"}),1.38,1.31)))),2)</f>
        <v>55.88</v>
      </c>
      <c r="I385" s="27">
        <f>(Table1[[#This Row],[SALE PRICE]]-Table1[[#This Row],[COST PRICE]])/Table1[[#This Row],[SALE PRICE]]</f>
        <v>0.27541159627773798</v>
      </c>
      <c r="J385" s="27" t="str">
        <f>IF(Table1[[#This Row],[MARGIN]]&lt;25%, "REVIEW", "OK")</f>
        <v>OK</v>
      </c>
    </row>
    <row r="386" spans="1:10" ht="15.6" x14ac:dyDescent="0.3">
      <c r="A386" s="17" t="s">
        <v>1647</v>
      </c>
      <c r="B386" s="12" t="s">
        <v>1795</v>
      </c>
      <c r="C386" s="12" t="s">
        <v>1430</v>
      </c>
      <c r="D386" s="10"/>
      <c r="E386" s="10"/>
      <c r="F386" s="12"/>
      <c r="G386" s="46">
        <v>4.99</v>
      </c>
      <c r="H386" s="46" cm="1">
        <f t="array" ref="H386">ROUND(G386*IF(OR(MID(A386,5,3)={"BFF","PRK","FPL","LMB","FFI","MET","RIC","FLR","SUG","OIL","DRK","JCE","FEG"}),1.21,IF(OR(MID(A386,5,3)={"FVG","FFR"}),1.33,IF(OR(MID(A386,5,3)={"FBT","FCH","FMK","FYG","MLK","ICE","FRV","FPO","FRF","FCC","BRD"}),1.28,IF(OR(MID(A386,5,3)={"BIS","CRP","HRB","TUR","IND","HYG"}),1.38,1.31)))),2)</f>
        <v>6.89</v>
      </c>
      <c r="I386" s="29">
        <f>(Table1[[#This Row],[SALE PRICE]]-Table1[[#This Row],[COST PRICE]])/Table1[[#This Row],[SALE PRICE]]</f>
        <v>0.27576197387518137</v>
      </c>
      <c r="J386" s="26" t="str">
        <f>IF(Table1[[#This Row],[MARGIN]]&lt;25%, "REVIEW", "OK")</f>
        <v>OK</v>
      </c>
    </row>
    <row r="387" spans="1:10" ht="15.6" x14ac:dyDescent="0.3">
      <c r="A387" s="18" t="s">
        <v>1648</v>
      </c>
      <c r="B387" s="13" t="s">
        <v>1796</v>
      </c>
      <c r="C387" s="13" t="s">
        <v>1426</v>
      </c>
      <c r="D387" s="11"/>
      <c r="E387" s="11"/>
      <c r="F387" s="13"/>
      <c r="G387" s="47">
        <v>27.49</v>
      </c>
      <c r="H387" s="47" cm="1">
        <f t="array" ref="H387">ROUND(G387*IF(OR(MID(A387,5,3)={"BFF","PRK","FPL","LMB","FFI","MET","RIC","FLR","SUG","OIL","DRK","JCE","FEG"}),1.21,IF(OR(MID(A387,5,3)={"FVG","FFR"}),1.33,IF(OR(MID(A387,5,3)={"FBT","FCH","FMK","FYG","MLK","ICE","FRV","FPO","FRF","FCC","BRD"}),1.28,IF(OR(MID(A387,5,3)={"BIS","CRP","HRB","TUR","IND","HYG"}),1.38,1.31)))),2)</f>
        <v>37.94</v>
      </c>
      <c r="I387" s="27">
        <f>(Table1[[#This Row],[SALE PRICE]]-Table1[[#This Row],[COST PRICE]])/Table1[[#This Row],[SALE PRICE]]</f>
        <v>0.27543489720611491</v>
      </c>
      <c r="J387" s="27" t="str">
        <f>IF(Table1[[#This Row],[MARGIN]]&lt;25%, "REVIEW", "OK")</f>
        <v>OK</v>
      </c>
    </row>
    <row r="388" spans="1:10" ht="15.6" x14ac:dyDescent="0.3">
      <c r="A388" s="17" t="s">
        <v>1649</v>
      </c>
      <c r="B388" s="12" t="s">
        <v>1797</v>
      </c>
      <c r="C388" s="12" t="s">
        <v>1430</v>
      </c>
      <c r="D388" s="10"/>
      <c r="E388" s="10"/>
      <c r="F388" s="12"/>
      <c r="G388" s="46">
        <v>7.99</v>
      </c>
      <c r="H388" s="46" cm="1">
        <f t="array" ref="H388">ROUND(G388*IF(OR(MID(A388,5,3)={"BFF","PRK","FPL","LMB","FFI","MET","RIC","FLR","SUG","OIL","DRK","JCE","FEG"}),1.21,IF(OR(MID(A388,5,3)={"FVG","FFR"}),1.33,IF(OR(MID(A388,5,3)={"FBT","FCH","FMK","FYG","MLK","ICE","FRV","FPO","FRF","FCC","BRD"}),1.28,IF(OR(MID(A388,5,3)={"BIS","CRP","HRB","TUR","IND","HYG"}),1.38,1.31)))),2)</f>
        <v>11.03</v>
      </c>
      <c r="I388" s="29">
        <f>(Table1[[#This Row],[SALE PRICE]]-Table1[[#This Row],[COST PRICE]])/Table1[[#This Row],[SALE PRICE]]</f>
        <v>0.27561196736174065</v>
      </c>
      <c r="J388" s="26" t="str">
        <f>IF(Table1[[#This Row],[MARGIN]]&lt;25%, "REVIEW", "OK")</f>
        <v>OK</v>
      </c>
    </row>
    <row r="389" spans="1:10" ht="15.6" x14ac:dyDescent="0.3">
      <c r="A389" s="18" t="s">
        <v>1650</v>
      </c>
      <c r="B389" s="13" t="s">
        <v>1798</v>
      </c>
      <c r="C389" s="13" t="s">
        <v>1426</v>
      </c>
      <c r="D389" s="11"/>
      <c r="E389" s="11"/>
      <c r="F389" s="13"/>
      <c r="G389" s="47">
        <v>24.49</v>
      </c>
      <c r="H389" s="47" cm="1">
        <f t="array" ref="H389">ROUND(G389*IF(OR(MID(A389,5,3)={"BFF","PRK","FPL","LMB","FFI","MET","RIC","FLR","SUG","OIL","DRK","JCE","FEG"}),1.21,IF(OR(MID(A389,5,3)={"FVG","FFR"}),1.33,IF(OR(MID(A389,5,3)={"FBT","FCH","FMK","FYG","MLK","ICE","FRV","FPO","FRF","FCC","BRD"}),1.28,IF(OR(MID(A389,5,3)={"BIS","CRP","HRB","TUR","IND","HYG"}),1.38,1.31)))),2)</f>
        <v>33.799999999999997</v>
      </c>
      <c r="I389" s="27">
        <f>(Table1[[#This Row],[SALE PRICE]]-Table1[[#This Row],[COST PRICE]])/Table1[[#This Row],[SALE PRICE]]</f>
        <v>0.27544378698224853</v>
      </c>
      <c r="J389" s="27" t="str">
        <f>IF(Table1[[#This Row],[MARGIN]]&lt;25%, "REVIEW", "OK")</f>
        <v>OK</v>
      </c>
    </row>
    <row r="390" spans="1:10" ht="15.6" x14ac:dyDescent="0.3">
      <c r="A390" s="17" t="s">
        <v>1651</v>
      </c>
      <c r="B390" s="12" t="s">
        <v>1799</v>
      </c>
      <c r="C390" s="12" t="s">
        <v>1430</v>
      </c>
      <c r="D390" s="10"/>
      <c r="E390" s="10"/>
      <c r="F390" s="12"/>
      <c r="G390" s="46">
        <v>11.99</v>
      </c>
      <c r="H390" s="46" cm="1">
        <f t="array" ref="H390">ROUND(G390*IF(OR(MID(A390,5,3)={"BFF","PRK","FPL","LMB","FFI","MET","RIC","FLR","SUG","OIL","DRK","JCE","FEG"}),1.21,IF(OR(MID(A390,5,3)={"FVG","FFR"}),1.33,IF(OR(MID(A390,5,3)={"FBT","FCH","FMK","FYG","MLK","ICE","FRV","FPO","FRF","FCC","BRD"}),1.28,IF(OR(MID(A390,5,3)={"BIS","CRP","HRB","TUR","IND","HYG"}),1.38,1.31)))),2)</f>
        <v>16.55</v>
      </c>
      <c r="I390" s="29">
        <f>(Table1[[#This Row],[SALE PRICE]]-Table1[[#This Row],[COST PRICE]])/Table1[[#This Row],[SALE PRICE]]</f>
        <v>0.2755287009063444</v>
      </c>
      <c r="J390" s="26" t="str">
        <f>IF(Table1[[#This Row],[MARGIN]]&lt;25%, "REVIEW", "OK")</f>
        <v>OK</v>
      </c>
    </row>
    <row r="391" spans="1:10" ht="15.6" x14ac:dyDescent="0.3">
      <c r="A391" s="18" t="s">
        <v>1652</v>
      </c>
      <c r="B391" s="13" t="s">
        <v>1800</v>
      </c>
      <c r="C391" s="13" t="s">
        <v>1426</v>
      </c>
      <c r="D391" s="11"/>
      <c r="E391" s="11"/>
      <c r="F391" s="13"/>
      <c r="G391" s="47">
        <v>71.489999999999995</v>
      </c>
      <c r="H391" s="47" cm="1">
        <f t="array" ref="H391">ROUND(G391*IF(OR(MID(A391,5,3)={"BFF","PRK","FPL","LMB","FFI","MET","RIC","FLR","SUG","OIL","DRK","JCE","FEG"}),1.21,IF(OR(MID(A391,5,3)={"FVG","FFR"}),1.33,IF(OR(MID(A391,5,3)={"FBT","FCH","FMK","FYG","MLK","ICE","FRV","FPO","FRF","FCC","BRD"}),1.28,IF(OR(MID(A391,5,3)={"BIS","CRP","HRB","TUR","IND","HYG"}),1.38,1.31)))),2)</f>
        <v>98.66</v>
      </c>
      <c r="I391" s="27">
        <f>(Table1[[#This Row],[SALE PRICE]]-Table1[[#This Row],[COST PRICE]])/Table1[[#This Row],[SALE PRICE]]</f>
        <v>0.27539022906953176</v>
      </c>
      <c r="J391" s="27" t="str">
        <f>IF(Table1[[#This Row],[MARGIN]]&lt;25%, "REVIEW", "OK")</f>
        <v>OK</v>
      </c>
    </row>
    <row r="392" spans="1:10" ht="15.6" x14ac:dyDescent="0.3">
      <c r="A392" s="17" t="s">
        <v>1653</v>
      </c>
      <c r="B392" s="12" t="s">
        <v>1801</v>
      </c>
      <c r="C392" s="12" t="s">
        <v>1430</v>
      </c>
      <c r="D392" s="10"/>
      <c r="E392" s="10"/>
      <c r="F392" s="12"/>
      <c r="G392" s="46">
        <v>10.99</v>
      </c>
      <c r="H392" s="46" cm="1">
        <f t="array" ref="H392">ROUND(G392*IF(OR(MID(A392,5,3)={"BFF","PRK","FPL","LMB","FFI","MET","RIC","FLR","SUG","OIL","DRK","JCE","FEG"}),1.21,IF(OR(MID(A392,5,3)={"FVG","FFR"}),1.33,IF(OR(MID(A392,5,3)={"FBT","FCH","FMK","FYG","MLK","ICE","FRV","FPO","FRF","FCC","BRD"}),1.28,IF(OR(MID(A392,5,3)={"BIS","CRP","HRB","TUR","IND","HYG"}),1.38,1.31)))),2)</f>
        <v>15.17</v>
      </c>
      <c r="I392" s="29">
        <f>(Table1[[#This Row],[SALE PRICE]]-Table1[[#This Row],[COST PRICE]])/Table1[[#This Row],[SALE PRICE]]</f>
        <v>0.27554383651944625</v>
      </c>
      <c r="J392" s="26" t="str">
        <f>IF(Table1[[#This Row],[MARGIN]]&lt;25%, "REVIEW", "OK")</f>
        <v>OK</v>
      </c>
    </row>
    <row r="393" spans="1:10" ht="15.6" x14ac:dyDescent="0.3">
      <c r="A393" s="18" t="s">
        <v>1654</v>
      </c>
      <c r="B393" s="13" t="s">
        <v>1802</v>
      </c>
      <c r="C393" s="13" t="s">
        <v>1426</v>
      </c>
      <c r="D393" s="11"/>
      <c r="E393" s="11"/>
      <c r="F393" s="13"/>
      <c r="G393" s="47">
        <v>64.989999999999995</v>
      </c>
      <c r="H393" s="47" cm="1">
        <f t="array" ref="H393">ROUND(G393*IF(OR(MID(A393,5,3)={"BFF","PRK","FPL","LMB","FFI","MET","RIC","FLR","SUG","OIL","DRK","JCE","FEG"}),1.21,IF(OR(MID(A393,5,3)={"FVG","FFR"}),1.33,IF(OR(MID(A393,5,3)={"FBT","FCH","FMK","FYG","MLK","ICE","FRV","FPO","FRF","FCC","BRD"}),1.28,IF(OR(MID(A393,5,3)={"BIS","CRP","HRB","TUR","IND","HYG"}),1.38,1.31)))),2)</f>
        <v>89.69</v>
      </c>
      <c r="I393" s="27">
        <f>(Table1[[#This Row],[SALE PRICE]]-Table1[[#This Row],[COST PRICE]])/Table1[[#This Row],[SALE PRICE]]</f>
        <v>0.27539302040361247</v>
      </c>
      <c r="J393" s="27" t="str">
        <f>IF(Table1[[#This Row],[MARGIN]]&lt;25%, "REVIEW", "OK")</f>
        <v>OK</v>
      </c>
    </row>
    <row r="394" spans="1:10" ht="15.6" x14ac:dyDescent="0.3">
      <c r="A394" s="17" t="s">
        <v>1655</v>
      </c>
      <c r="B394" s="12" t="s">
        <v>1803</v>
      </c>
      <c r="C394" s="12" t="s">
        <v>1430</v>
      </c>
      <c r="D394" s="10"/>
      <c r="E394" s="10"/>
      <c r="F394" s="12"/>
      <c r="G394" s="46">
        <v>1.49</v>
      </c>
      <c r="H394" s="46" cm="1">
        <f t="array" ref="H394">ROUND(G394*IF(OR(MID(A394,5,3)={"BFF","PRK","FPL","LMB","FFI","MET","RIC","FLR","SUG","OIL","DRK","JCE","FEG"}),1.21,IF(OR(MID(A394,5,3)={"FVG","FFR"}),1.33,IF(OR(MID(A394,5,3)={"FBT","FCH","FMK","FYG","MLK","ICE","FRV","FPO","FRF","FCC","BRD"}),1.28,IF(OR(MID(A394,5,3)={"BIS","CRP","HRB","TUR","IND","HYG"}),1.38,1.31)))),2)</f>
        <v>2.06</v>
      </c>
      <c r="I394" s="29">
        <f>(Table1[[#This Row],[SALE PRICE]]-Table1[[#This Row],[COST PRICE]])/Table1[[#This Row],[SALE PRICE]]</f>
        <v>0.27669902912621364</v>
      </c>
      <c r="J394" s="26" t="str">
        <f>IF(Table1[[#This Row],[MARGIN]]&lt;25%, "REVIEW", "OK")</f>
        <v>OK</v>
      </c>
    </row>
    <row r="395" spans="1:10" ht="15.6" x14ac:dyDescent="0.3">
      <c r="A395" s="18" t="s">
        <v>1656</v>
      </c>
      <c r="B395" s="13" t="s">
        <v>1804</v>
      </c>
      <c r="C395" s="13" t="s">
        <v>1426</v>
      </c>
      <c r="D395" s="11"/>
      <c r="E395" s="11"/>
      <c r="F395" s="13"/>
      <c r="G395" s="47">
        <v>7.99</v>
      </c>
      <c r="H395" s="47" cm="1">
        <f t="array" ref="H395">ROUND(G395*IF(OR(MID(A395,5,3)={"BFF","PRK","FPL","LMB","FFI","MET","RIC","FLR","SUG","OIL","DRK","JCE","FEG"}),1.21,IF(OR(MID(A395,5,3)={"FVG","FFR"}),1.33,IF(OR(MID(A395,5,3)={"FBT","FCH","FMK","FYG","MLK","ICE","FRV","FPO","FRF","FCC","BRD"}),1.28,IF(OR(MID(A395,5,3)={"BIS","CRP","HRB","TUR","IND","HYG"}),1.38,1.31)))),2)</f>
        <v>11.03</v>
      </c>
      <c r="I395" s="27">
        <f>(Table1[[#This Row],[SALE PRICE]]-Table1[[#This Row],[COST PRICE]])/Table1[[#This Row],[SALE PRICE]]</f>
        <v>0.27561196736174065</v>
      </c>
      <c r="J395" s="27" t="str">
        <f>IF(Table1[[#This Row],[MARGIN]]&lt;25%, "REVIEW", "OK")</f>
        <v>OK</v>
      </c>
    </row>
    <row r="396" spans="1:10" ht="15.6" x14ac:dyDescent="0.3">
      <c r="A396" s="17" t="s">
        <v>1657</v>
      </c>
      <c r="B396" s="12" t="s">
        <v>1805</v>
      </c>
      <c r="C396" s="12" t="s">
        <v>1430</v>
      </c>
      <c r="D396" s="10"/>
      <c r="E396" s="10"/>
      <c r="F396" s="12"/>
      <c r="G396" s="46">
        <v>5.99</v>
      </c>
      <c r="H396" s="46" cm="1">
        <f t="array" ref="H396">ROUND(G396*IF(OR(MID(A396,5,3)={"BFF","PRK","FPL","LMB","FFI","MET","RIC","FLR","SUG","OIL","DRK","JCE","FEG"}),1.21,IF(OR(MID(A396,5,3)={"FVG","FFR"}),1.33,IF(OR(MID(A396,5,3)={"FBT","FCH","FMK","FYG","MLK","ICE","FRV","FPO","FRF","FCC","BRD"}),1.28,IF(OR(MID(A396,5,3)={"BIS","CRP","HRB","TUR","IND","HYG"}),1.38,1.31)))),2)</f>
        <v>8.27</v>
      </c>
      <c r="I396" s="29">
        <f>(Table1[[#This Row],[SALE PRICE]]-Table1[[#This Row],[COST PRICE]])/Table1[[#This Row],[SALE PRICE]]</f>
        <v>0.27569528415961297</v>
      </c>
      <c r="J396" s="26" t="str">
        <f>IF(Table1[[#This Row],[MARGIN]]&lt;25%, "REVIEW", "OK")</f>
        <v>OK</v>
      </c>
    </row>
    <row r="397" spans="1:10" ht="15.6" x14ac:dyDescent="0.3">
      <c r="A397" s="18" t="s">
        <v>1658</v>
      </c>
      <c r="B397" s="13" t="s">
        <v>1806</v>
      </c>
      <c r="C397" s="13" t="s">
        <v>1426</v>
      </c>
      <c r="D397" s="11"/>
      <c r="E397" s="11"/>
      <c r="F397" s="13"/>
      <c r="G397" s="47">
        <v>28.49</v>
      </c>
      <c r="H397" s="47" cm="1">
        <f t="array" ref="H397">ROUND(G397*IF(OR(MID(A397,5,3)={"BFF","PRK","FPL","LMB","FFI","MET","RIC","FLR","SUG","OIL","DRK","JCE","FEG"}),1.21,IF(OR(MID(A397,5,3)={"FVG","FFR"}),1.33,IF(OR(MID(A397,5,3)={"FBT","FCH","FMK","FYG","MLK","ICE","FRV","FPO","FRF","FCC","BRD"}),1.28,IF(OR(MID(A397,5,3)={"BIS","CRP","HRB","TUR","IND","HYG"}),1.38,1.31)))),2)</f>
        <v>39.32</v>
      </c>
      <c r="I397" s="27">
        <f>(Table1[[#This Row],[SALE PRICE]]-Table1[[#This Row],[COST PRICE]])/Table1[[#This Row],[SALE PRICE]]</f>
        <v>0.27543234994913535</v>
      </c>
      <c r="J397" s="27" t="str">
        <f>IF(Table1[[#This Row],[MARGIN]]&lt;25%, "REVIEW", "OK")</f>
        <v>OK</v>
      </c>
    </row>
    <row r="398" spans="1:10" ht="15.6" x14ac:dyDescent="0.3">
      <c r="A398" s="17" t="s">
        <v>1659</v>
      </c>
      <c r="B398" s="12" t="s">
        <v>1807</v>
      </c>
      <c r="C398" s="12" t="s">
        <v>1430</v>
      </c>
      <c r="D398" s="10"/>
      <c r="E398" s="10"/>
      <c r="F398" s="12"/>
      <c r="G398" s="46">
        <v>2.99</v>
      </c>
      <c r="H398" s="46" cm="1">
        <f t="array" ref="H398">ROUND(G398*IF(OR(MID(A398,5,3)={"BFF","PRK","FPL","LMB","FFI","MET","RIC","FLR","SUG","OIL","DRK","JCE","FEG"}),1.21,IF(OR(MID(A398,5,3)={"FVG","FFR"}),1.33,IF(OR(MID(A398,5,3)={"FBT","FCH","FMK","FYG","MLK","ICE","FRV","FPO","FRF","FCC","BRD"}),1.28,IF(OR(MID(A398,5,3)={"BIS","CRP","HRB","TUR","IND","HYG"}),1.38,1.31)))),2)</f>
        <v>4.13</v>
      </c>
      <c r="I398" s="29">
        <f>(Table1[[#This Row],[SALE PRICE]]-Table1[[#This Row],[COST PRICE]])/Table1[[#This Row],[SALE PRICE]]</f>
        <v>0.27602905569007258</v>
      </c>
      <c r="J398" s="26" t="str">
        <f>IF(Table1[[#This Row],[MARGIN]]&lt;25%, "REVIEW", "OK")</f>
        <v>OK</v>
      </c>
    </row>
    <row r="399" spans="1:10" ht="15.6" x14ac:dyDescent="0.3">
      <c r="A399" s="18" t="s">
        <v>1660</v>
      </c>
      <c r="B399" s="13" t="s">
        <v>1808</v>
      </c>
      <c r="C399" s="13" t="s">
        <v>1426</v>
      </c>
      <c r="D399" s="11"/>
      <c r="E399" s="11"/>
      <c r="F399" s="13"/>
      <c r="G399" s="47">
        <v>16.489999999999998</v>
      </c>
      <c r="H399" s="47" cm="1">
        <f t="array" ref="H399">ROUND(G399*IF(OR(MID(A399,5,3)={"BFF","PRK","FPL","LMB","FFI","MET","RIC","FLR","SUG","OIL","DRK","JCE","FEG"}),1.21,IF(OR(MID(A399,5,3)={"FVG","FFR"}),1.33,IF(OR(MID(A399,5,3)={"FBT","FCH","FMK","FYG","MLK","ICE","FRV","FPO","FRF","FCC","BRD"}),1.28,IF(OR(MID(A399,5,3)={"BIS","CRP","HRB","TUR","IND","HYG"}),1.38,1.31)))),2)</f>
        <v>22.76</v>
      </c>
      <c r="I399" s="27">
        <f>(Table1[[#This Row],[SALE PRICE]]-Table1[[#This Row],[COST PRICE]])/Table1[[#This Row],[SALE PRICE]]</f>
        <v>0.27548330404217936</v>
      </c>
      <c r="J399" s="27" t="str">
        <f>IF(Table1[[#This Row],[MARGIN]]&lt;25%, "REVIEW", "OK")</f>
        <v>OK</v>
      </c>
    </row>
    <row r="400" spans="1:10" ht="15.6" x14ac:dyDescent="0.3">
      <c r="A400" s="17" t="s">
        <v>1661</v>
      </c>
      <c r="B400" s="12" t="s">
        <v>1809</v>
      </c>
      <c r="C400" s="12" t="s">
        <v>1430</v>
      </c>
      <c r="D400" s="10"/>
      <c r="E400" s="10"/>
      <c r="F400" s="12"/>
      <c r="G400" s="46">
        <v>3.99</v>
      </c>
      <c r="H400" s="46" cm="1">
        <f t="array" ref="H400">ROUND(G400*IF(OR(MID(A400,5,3)={"BFF","PRK","FPL","LMB","FFI","MET","RIC","FLR","SUG","OIL","DRK","JCE","FEG"}),1.21,IF(OR(MID(A400,5,3)={"FVG","FFR"}),1.33,IF(OR(MID(A400,5,3)={"FBT","FCH","FMK","FYG","MLK","ICE","FRV","FPO","FRF","FCC","BRD"}),1.28,IF(OR(MID(A400,5,3)={"BIS","CRP","HRB","TUR","IND","HYG"}),1.38,1.31)))),2)</f>
        <v>5.51</v>
      </c>
      <c r="I400" s="29">
        <f>(Table1[[#This Row],[SALE PRICE]]-Table1[[#This Row],[COST PRICE]])/Table1[[#This Row],[SALE PRICE]]</f>
        <v>0.27586206896551718</v>
      </c>
      <c r="J400" s="26" t="str">
        <f>IF(Table1[[#This Row],[MARGIN]]&lt;25%, "REVIEW", "OK")</f>
        <v>OK</v>
      </c>
    </row>
    <row r="401" spans="1:10" ht="15.6" x14ac:dyDescent="0.3">
      <c r="A401" s="18" t="s">
        <v>1662</v>
      </c>
      <c r="B401" s="13" t="s">
        <v>1810</v>
      </c>
      <c r="C401" s="13" t="s">
        <v>1426</v>
      </c>
      <c r="D401" s="11"/>
      <c r="E401" s="11"/>
      <c r="F401" s="13"/>
      <c r="G401" s="47">
        <v>18.489999999999998</v>
      </c>
      <c r="H401" s="47" cm="1">
        <f t="array" ref="H401">ROUND(G401*IF(OR(MID(A401,5,3)={"BFF","PRK","FPL","LMB","FFI","MET","RIC","FLR","SUG","OIL","DRK","JCE","FEG"}),1.21,IF(OR(MID(A401,5,3)={"FVG","FFR"}),1.33,IF(OR(MID(A401,5,3)={"FBT","FCH","FMK","FYG","MLK","ICE","FRV","FPO","FRF","FCC","BRD"}),1.28,IF(OR(MID(A401,5,3)={"BIS","CRP","HRB","TUR","IND","HYG"}),1.38,1.31)))),2)</f>
        <v>25.52</v>
      </c>
      <c r="I401" s="27">
        <f>(Table1[[#This Row],[SALE PRICE]]-Table1[[#This Row],[COST PRICE]])/Table1[[#This Row],[SALE PRICE]]</f>
        <v>0.27547021943573674</v>
      </c>
      <c r="J401" s="27" t="str">
        <f>IF(Table1[[#This Row],[MARGIN]]&lt;25%, "REVIEW", "OK")</f>
        <v>OK</v>
      </c>
    </row>
    <row r="402" spans="1:10" ht="15.6" x14ac:dyDescent="0.3">
      <c r="A402" s="17" t="s">
        <v>1663</v>
      </c>
      <c r="B402" s="12" t="s">
        <v>1811</v>
      </c>
      <c r="C402" s="12" t="s">
        <v>1430</v>
      </c>
      <c r="D402" s="10"/>
      <c r="E402" s="10"/>
      <c r="F402" s="12"/>
      <c r="G402" s="46">
        <v>11.99</v>
      </c>
      <c r="H402" s="46" cm="1">
        <f t="array" ref="H402">ROUND(G402*IF(OR(MID(A402,5,3)={"BFF","PRK","FPL","LMB","FFI","MET","RIC","FLR","SUG","OIL","DRK","JCE","FEG"}),1.21,IF(OR(MID(A402,5,3)={"FVG","FFR"}),1.33,IF(OR(MID(A402,5,3)={"FBT","FCH","FMK","FYG","MLK","ICE","FRV","FPO","FRF","FCC","BRD"}),1.28,IF(OR(MID(A402,5,3)={"BIS","CRP","HRB","TUR","IND","HYG"}),1.38,1.31)))),2)</f>
        <v>16.55</v>
      </c>
      <c r="I402" s="29">
        <f>(Table1[[#This Row],[SALE PRICE]]-Table1[[#This Row],[COST PRICE]])/Table1[[#This Row],[SALE PRICE]]</f>
        <v>0.2755287009063444</v>
      </c>
      <c r="J402" s="26" t="str">
        <f>IF(Table1[[#This Row],[MARGIN]]&lt;25%, "REVIEW", "OK")</f>
        <v>OK</v>
      </c>
    </row>
    <row r="403" spans="1:10" ht="15.6" x14ac:dyDescent="0.3">
      <c r="A403" s="18" t="s">
        <v>1664</v>
      </c>
      <c r="B403" s="13" t="s">
        <v>1812</v>
      </c>
      <c r="C403" s="13" t="s">
        <v>1426</v>
      </c>
      <c r="D403" s="11"/>
      <c r="E403" s="11"/>
      <c r="F403" s="13"/>
      <c r="G403" s="47">
        <v>54.99</v>
      </c>
      <c r="H403" s="47" cm="1">
        <f t="array" ref="H403">ROUND(G403*IF(OR(MID(A403,5,3)={"BFF","PRK","FPL","LMB","FFI","MET","RIC","FLR","SUG","OIL","DRK","JCE","FEG"}),1.21,IF(OR(MID(A403,5,3)={"FVG","FFR"}),1.33,IF(OR(MID(A403,5,3)={"FBT","FCH","FMK","FYG","MLK","ICE","FRV","FPO","FRF","FCC","BRD"}),1.28,IF(OR(MID(A403,5,3)={"BIS","CRP","HRB","TUR","IND","HYG"}),1.38,1.31)))),2)</f>
        <v>75.89</v>
      </c>
      <c r="I403" s="27">
        <f>(Table1[[#This Row],[SALE PRICE]]-Table1[[#This Row],[COST PRICE]])/Table1[[#This Row],[SALE PRICE]]</f>
        <v>0.27539860324153376</v>
      </c>
      <c r="J403" s="27" t="str">
        <f>IF(Table1[[#This Row],[MARGIN]]&lt;25%, "REVIEW", "OK")</f>
        <v>OK</v>
      </c>
    </row>
    <row r="404" spans="1:10" ht="15.6" x14ac:dyDescent="0.3">
      <c r="A404" s="17" t="s">
        <v>1665</v>
      </c>
      <c r="B404" s="12" t="s">
        <v>1813</v>
      </c>
      <c r="C404" s="12" t="s">
        <v>1430</v>
      </c>
      <c r="D404" s="10"/>
      <c r="E404" s="10"/>
      <c r="F404" s="12"/>
      <c r="G404" s="46">
        <v>5.99</v>
      </c>
      <c r="H404" s="46" cm="1">
        <f t="array" ref="H404">ROUND(G404*IF(OR(MID(A404,5,3)={"BFF","PRK","FPL","LMB","FFI","MET","RIC","FLR","SUG","OIL","DRK","JCE","FEG"}),1.21,IF(OR(MID(A404,5,3)={"FVG","FFR"}),1.33,IF(OR(MID(A404,5,3)={"FBT","FCH","FMK","FYG","MLK","ICE","FRV","FPO","FRF","FCC","BRD"}),1.28,IF(OR(MID(A404,5,3)={"BIS","CRP","HRB","TUR","IND","HYG"}),1.38,1.31)))),2)</f>
        <v>8.27</v>
      </c>
      <c r="I404" s="29">
        <f>(Table1[[#This Row],[SALE PRICE]]-Table1[[#This Row],[COST PRICE]])/Table1[[#This Row],[SALE PRICE]]</f>
        <v>0.27569528415961297</v>
      </c>
      <c r="J404" s="26" t="str">
        <f>IF(Table1[[#This Row],[MARGIN]]&lt;25%, "REVIEW", "OK")</f>
        <v>OK</v>
      </c>
    </row>
    <row r="405" spans="1:10" ht="15.6" x14ac:dyDescent="0.3">
      <c r="A405" s="18" t="s">
        <v>1666</v>
      </c>
      <c r="B405" s="13" t="s">
        <v>1814</v>
      </c>
      <c r="C405" s="13" t="s">
        <v>1426</v>
      </c>
      <c r="D405" s="11"/>
      <c r="E405" s="11"/>
      <c r="F405" s="13"/>
      <c r="G405" s="47">
        <v>31.49</v>
      </c>
      <c r="H405" s="47" cm="1">
        <f t="array" ref="H405">ROUND(G405*IF(OR(MID(A405,5,3)={"BFF","PRK","FPL","LMB","FFI","MET","RIC","FLR","SUG","OIL","DRK","JCE","FEG"}),1.21,IF(OR(MID(A405,5,3)={"FVG","FFR"}),1.33,IF(OR(MID(A405,5,3)={"FBT","FCH","FMK","FYG","MLK","ICE","FRV","FPO","FRF","FCC","BRD"}),1.28,IF(OR(MID(A405,5,3)={"BIS","CRP","HRB","TUR","IND","HYG"}),1.38,1.31)))),2)</f>
        <v>43.46</v>
      </c>
      <c r="I405" s="27">
        <f>(Table1[[#This Row],[SALE PRICE]]-Table1[[#This Row],[COST PRICE]])/Table1[[#This Row],[SALE PRICE]]</f>
        <v>0.27542567878508978</v>
      </c>
      <c r="J405" s="27" t="str">
        <f>IF(Table1[[#This Row],[MARGIN]]&lt;25%, "REVIEW", "OK")</f>
        <v>OK</v>
      </c>
    </row>
    <row r="406" spans="1:10" ht="15.6" x14ac:dyDescent="0.3">
      <c r="A406" s="17" t="s">
        <v>1667</v>
      </c>
      <c r="B406" s="12" t="s">
        <v>1815</v>
      </c>
      <c r="C406" s="12" t="s">
        <v>1430</v>
      </c>
      <c r="D406" s="10"/>
      <c r="E406" s="10"/>
      <c r="F406" s="12"/>
      <c r="G406" s="46">
        <v>14.99</v>
      </c>
      <c r="H406" s="46" cm="1">
        <f t="array" ref="H406">ROUND(G406*IF(OR(MID(A406,5,3)={"BFF","PRK","FPL","LMB","FFI","MET","RIC","FLR","SUG","OIL","DRK","JCE","FEG"}),1.21,IF(OR(MID(A406,5,3)={"FVG","FFR"}),1.33,IF(OR(MID(A406,5,3)={"FBT","FCH","FMK","FYG","MLK","ICE","FRV","FPO","FRF","FCC","BRD"}),1.28,IF(OR(MID(A406,5,3)={"BIS","CRP","HRB","TUR","IND","HYG"}),1.38,1.31)))),2)</f>
        <v>20.69</v>
      </c>
      <c r="I406" s="29">
        <f>(Table1[[#This Row],[SALE PRICE]]-Table1[[#This Row],[COST PRICE]])/Table1[[#This Row],[SALE PRICE]]</f>
        <v>0.27549540840985987</v>
      </c>
      <c r="J406" s="26" t="str">
        <f>IF(Table1[[#This Row],[MARGIN]]&lt;25%, "REVIEW", "OK")</f>
        <v>OK</v>
      </c>
    </row>
    <row r="407" spans="1:10" ht="15.6" x14ac:dyDescent="0.3">
      <c r="A407" s="18" t="s">
        <v>1668</v>
      </c>
      <c r="B407" s="13" t="s">
        <v>1816</v>
      </c>
      <c r="C407" s="13" t="s">
        <v>1426</v>
      </c>
      <c r="D407" s="11"/>
      <c r="E407" s="11"/>
      <c r="F407" s="13"/>
      <c r="G407" s="47">
        <v>87.49</v>
      </c>
      <c r="H407" s="47" cm="1">
        <f t="array" ref="H407">ROUND(G407*IF(OR(MID(A407,5,3)={"BFF","PRK","FPL","LMB","FFI","MET","RIC","FLR","SUG","OIL","DRK","JCE","FEG"}),1.21,IF(OR(MID(A407,5,3)={"FVG","FFR"}),1.33,IF(OR(MID(A407,5,3)={"FBT","FCH","FMK","FYG","MLK","ICE","FRV","FPO","FRF","FCC","BRD"}),1.28,IF(OR(MID(A407,5,3)={"BIS","CRP","HRB","TUR","IND","HYG"}),1.38,1.31)))),2)</f>
        <v>120.74</v>
      </c>
      <c r="I407" s="27">
        <f>(Table1[[#This Row],[SALE PRICE]]-Table1[[#This Row],[COST PRICE]])/Table1[[#This Row],[SALE PRICE]]</f>
        <v>0.27538512506211693</v>
      </c>
      <c r="J407" s="27" t="str">
        <f>IF(Table1[[#This Row],[MARGIN]]&lt;25%, "REVIEW", "OK")</f>
        <v>OK</v>
      </c>
    </row>
    <row r="408" spans="1:10" ht="15.6" x14ac:dyDescent="0.3">
      <c r="A408" s="17" t="s">
        <v>1669</v>
      </c>
      <c r="B408" s="12" t="s">
        <v>1817</v>
      </c>
      <c r="C408" s="12" t="s">
        <v>1430</v>
      </c>
      <c r="D408" s="10"/>
      <c r="E408" s="10"/>
      <c r="F408" s="12"/>
      <c r="G408" s="46">
        <v>5.49</v>
      </c>
      <c r="H408" s="46" cm="1">
        <f t="array" ref="H408">ROUND(G408*IF(OR(MID(A408,5,3)={"BFF","PRK","FPL","LMB","FFI","MET","RIC","FLR","SUG","OIL","DRK","JCE","FEG"}),1.21,IF(OR(MID(A408,5,3)={"FVG","FFR"}),1.33,IF(OR(MID(A408,5,3)={"FBT","FCH","FMK","FYG","MLK","ICE","FRV","FPO","FRF","FCC","BRD"}),1.28,IF(OR(MID(A408,5,3)={"BIS","CRP","HRB","TUR","IND","HYG"}),1.38,1.31)))),2)</f>
        <v>7.58</v>
      </c>
      <c r="I408" s="29">
        <f>(Table1[[#This Row],[SALE PRICE]]-Table1[[#This Row],[COST PRICE]])/Table1[[#This Row],[SALE PRICE]]</f>
        <v>0.27572559366754618</v>
      </c>
      <c r="J408" s="26" t="str">
        <f>IF(Table1[[#This Row],[MARGIN]]&lt;25%, "REVIEW", "OK")</f>
        <v>OK</v>
      </c>
    </row>
    <row r="409" spans="1:10" ht="15.6" x14ac:dyDescent="0.3">
      <c r="A409" s="18" t="s">
        <v>1670</v>
      </c>
      <c r="B409" s="13" t="s">
        <v>1818</v>
      </c>
      <c r="C409" s="13" t="s">
        <v>1426</v>
      </c>
      <c r="D409" s="11"/>
      <c r="E409" s="11"/>
      <c r="F409" s="13"/>
      <c r="G409" s="47">
        <v>31.99</v>
      </c>
      <c r="H409" s="47" cm="1">
        <f t="array" ref="H409">ROUND(G409*IF(OR(MID(A409,5,3)={"BFF","PRK","FPL","LMB","FFI","MET","RIC","FLR","SUG","OIL","DRK","JCE","FEG"}),1.21,IF(OR(MID(A409,5,3)={"FVG","FFR"}),1.33,IF(OR(MID(A409,5,3)={"FBT","FCH","FMK","FYG","MLK","ICE","FRV","FPO","FRF","FCC","BRD"}),1.28,IF(OR(MID(A409,5,3)={"BIS","CRP","HRB","TUR","IND","HYG"}),1.38,1.31)))),2)</f>
        <v>44.15</v>
      </c>
      <c r="I409" s="27">
        <f>(Table1[[#This Row],[SALE PRICE]]-Table1[[#This Row],[COST PRICE]])/Table1[[#This Row],[SALE PRICE]]</f>
        <v>0.27542468856172142</v>
      </c>
      <c r="J409" s="27" t="str">
        <f>IF(Table1[[#This Row],[MARGIN]]&lt;25%, "REVIEW", "OK")</f>
        <v>OK</v>
      </c>
    </row>
    <row r="410" spans="1:10" ht="15.6" x14ac:dyDescent="0.3">
      <c r="A410" s="17" t="s">
        <v>1671</v>
      </c>
      <c r="B410" s="12" t="s">
        <v>1819</v>
      </c>
      <c r="C410" s="12" t="s">
        <v>1430</v>
      </c>
      <c r="D410" s="10"/>
      <c r="E410" s="10"/>
      <c r="F410" s="12"/>
      <c r="G410" s="46">
        <v>6.69</v>
      </c>
      <c r="H410" s="46" cm="1">
        <f t="array" ref="H410">ROUND(G410*IF(OR(MID(A410,5,3)={"BFF","PRK","FPL","LMB","FFI","MET","RIC","FLR","SUG","OIL","DRK","JCE","FEG"}),1.21,IF(OR(MID(A410,5,3)={"FVG","FFR"}),1.33,IF(OR(MID(A410,5,3)={"FBT","FCH","FMK","FYG","MLK","ICE","FRV","FPO","FRF","FCC","BRD"}),1.28,IF(OR(MID(A410,5,3)={"BIS","CRP","HRB","TUR","IND","HYG"}),1.38,1.31)))),2)</f>
        <v>9.23</v>
      </c>
      <c r="I410" s="29">
        <f>(Table1[[#This Row],[SALE PRICE]]-Table1[[#This Row],[COST PRICE]])/Table1[[#This Row],[SALE PRICE]]</f>
        <v>0.27518959913326108</v>
      </c>
      <c r="J410" s="26" t="str">
        <f>IF(Table1[[#This Row],[MARGIN]]&lt;25%, "REVIEW", "OK")</f>
        <v>OK</v>
      </c>
    </row>
    <row r="411" spans="1:10" ht="15.6" x14ac:dyDescent="0.3">
      <c r="A411" s="18" t="s">
        <v>1672</v>
      </c>
      <c r="B411" s="13" t="s">
        <v>1820</v>
      </c>
      <c r="C411" s="13" t="s">
        <v>1426</v>
      </c>
      <c r="D411" s="11"/>
      <c r="E411" s="11"/>
      <c r="F411" s="13"/>
      <c r="G411" s="47">
        <v>39.99</v>
      </c>
      <c r="H411" s="47" cm="1">
        <f t="array" ref="H411">ROUND(G411*IF(OR(MID(A411,5,3)={"BFF","PRK","FPL","LMB","FFI","MET","RIC","FLR","SUG","OIL","DRK","JCE","FEG"}),1.21,IF(OR(MID(A411,5,3)={"FVG","FFR"}),1.33,IF(OR(MID(A411,5,3)={"FBT","FCH","FMK","FYG","MLK","ICE","FRV","FPO","FRF","FCC","BRD"}),1.28,IF(OR(MID(A411,5,3)={"BIS","CRP","HRB","TUR","IND","HYG"}),1.38,1.31)))),2)</f>
        <v>55.19</v>
      </c>
      <c r="I411" s="27">
        <f>(Table1[[#This Row],[SALE PRICE]]-Table1[[#This Row],[COST PRICE]])/Table1[[#This Row],[SALE PRICE]]</f>
        <v>0.27541221235731106</v>
      </c>
      <c r="J411" s="27" t="str">
        <f>IF(Table1[[#This Row],[MARGIN]]&lt;25%, "REVIEW", "OK")</f>
        <v>OK</v>
      </c>
    </row>
    <row r="412" spans="1:10" ht="15.6" x14ac:dyDescent="0.3">
      <c r="A412" s="17" t="s">
        <v>1673</v>
      </c>
      <c r="B412" s="12" t="s">
        <v>1821</v>
      </c>
      <c r="C412" s="12" t="s">
        <v>1430</v>
      </c>
      <c r="D412" s="10"/>
      <c r="E412" s="10"/>
      <c r="F412" s="12"/>
      <c r="G412" s="46">
        <v>4.99</v>
      </c>
      <c r="H412" s="46" cm="1">
        <f t="array" ref="H412">ROUND(G412*IF(OR(MID(A412,5,3)={"BFF","PRK","FPL","LMB","FFI","MET","RIC","FLR","SUG","OIL","DRK","JCE","FEG"}),1.21,IF(OR(MID(A412,5,3)={"FVG","FFR"}),1.33,IF(OR(MID(A412,5,3)={"FBT","FCH","FMK","FYG","MLK","ICE","FRV","FPO","FRF","FCC","BRD"}),1.28,IF(OR(MID(A412,5,3)={"BIS","CRP","HRB","TUR","IND","HYG"}),1.38,1.31)))),2)</f>
        <v>6.89</v>
      </c>
      <c r="I412" s="29">
        <f>(Table1[[#This Row],[SALE PRICE]]-Table1[[#This Row],[COST PRICE]])/Table1[[#This Row],[SALE PRICE]]</f>
        <v>0.27576197387518137</v>
      </c>
      <c r="J412" s="26" t="str">
        <f>IF(Table1[[#This Row],[MARGIN]]&lt;25%, "REVIEW", "OK")</f>
        <v>OK</v>
      </c>
    </row>
    <row r="413" spans="1:10" ht="15.6" x14ac:dyDescent="0.3">
      <c r="A413" s="18" t="s">
        <v>1674</v>
      </c>
      <c r="B413" s="13" t="s">
        <v>1822</v>
      </c>
      <c r="C413" s="13" t="s">
        <v>1426</v>
      </c>
      <c r="D413" s="11"/>
      <c r="E413" s="11"/>
      <c r="F413" s="13"/>
      <c r="G413" s="47">
        <v>22.99</v>
      </c>
      <c r="H413" s="47" cm="1">
        <f t="array" ref="H413">ROUND(G413*IF(OR(MID(A413,5,3)={"BFF","PRK","FPL","LMB","FFI","MET","RIC","FLR","SUG","OIL","DRK","JCE","FEG"}),1.21,IF(OR(MID(A413,5,3)={"FVG","FFR"}),1.33,IF(OR(MID(A413,5,3)={"FBT","FCH","FMK","FYG","MLK","ICE","FRV","FPO","FRF","FCC","BRD"}),1.28,IF(OR(MID(A413,5,3)={"BIS","CRP","HRB","TUR","IND","HYG"}),1.38,1.31)))),2)</f>
        <v>31.73</v>
      </c>
      <c r="I413" s="27">
        <f>(Table1[[#This Row],[SALE PRICE]]-Table1[[#This Row],[COST PRICE]])/Table1[[#This Row],[SALE PRICE]]</f>
        <v>0.27544910179640725</v>
      </c>
      <c r="J413" s="27" t="str">
        <f>IF(Table1[[#This Row],[MARGIN]]&lt;25%, "REVIEW", "OK")</f>
        <v>OK</v>
      </c>
    </row>
    <row r="414" spans="1:10" ht="15.6" x14ac:dyDescent="0.3">
      <c r="A414" s="17" t="s">
        <v>1675</v>
      </c>
      <c r="B414" s="12" t="s">
        <v>1823</v>
      </c>
      <c r="C414" s="12" t="s">
        <v>1430</v>
      </c>
      <c r="D414" s="10"/>
      <c r="E414" s="10"/>
      <c r="F414" s="12"/>
      <c r="G414" s="46">
        <v>4.99</v>
      </c>
      <c r="H414" s="46" cm="1">
        <f t="array" ref="H414">ROUND(G414*IF(OR(MID(A414,5,3)={"BFF","PRK","FPL","LMB","FFI","MET","RIC","FLR","SUG","OIL","DRK","JCE","FEG"}),1.21,IF(OR(MID(A414,5,3)={"FVG","FFR"}),1.33,IF(OR(MID(A414,5,3)={"FBT","FCH","FMK","FYG","MLK","ICE","FRV","FPO","FRF","FCC","BRD"}),1.28,IF(OR(MID(A414,5,3)={"BIS","CRP","HRB","TUR","IND","HYG"}),1.38,1.31)))),2)</f>
        <v>6.89</v>
      </c>
      <c r="I414" s="29">
        <f>(Table1[[#This Row],[SALE PRICE]]-Table1[[#This Row],[COST PRICE]])/Table1[[#This Row],[SALE PRICE]]</f>
        <v>0.27576197387518137</v>
      </c>
      <c r="J414" s="26" t="str">
        <f>IF(Table1[[#This Row],[MARGIN]]&lt;25%, "REVIEW", "OK")</f>
        <v>OK</v>
      </c>
    </row>
    <row r="415" spans="1:10" ht="15.6" x14ac:dyDescent="0.3">
      <c r="A415" s="18" t="s">
        <v>1676</v>
      </c>
      <c r="B415" s="13" t="s">
        <v>1824</v>
      </c>
      <c r="C415" s="13" t="s">
        <v>1426</v>
      </c>
      <c r="D415" s="11"/>
      <c r="E415" s="11"/>
      <c r="F415" s="13"/>
      <c r="G415" s="47">
        <v>27.49</v>
      </c>
      <c r="H415" s="47" cm="1">
        <f t="array" ref="H415">ROUND(G415*IF(OR(MID(A415,5,3)={"BFF","PRK","FPL","LMB","FFI","MET","RIC","FLR","SUG","OIL","DRK","JCE","FEG"}),1.21,IF(OR(MID(A415,5,3)={"FVG","FFR"}),1.33,IF(OR(MID(A415,5,3)={"FBT","FCH","FMK","FYG","MLK","ICE","FRV","FPO","FRF","FCC","BRD"}),1.28,IF(OR(MID(A415,5,3)={"BIS","CRP","HRB","TUR","IND","HYG"}),1.38,1.31)))),2)</f>
        <v>37.94</v>
      </c>
      <c r="I415" s="27">
        <f>(Table1[[#This Row],[SALE PRICE]]-Table1[[#This Row],[COST PRICE]])/Table1[[#This Row],[SALE PRICE]]</f>
        <v>0.27543489720611491</v>
      </c>
      <c r="J415" s="27" t="str">
        <f>IF(Table1[[#This Row],[MARGIN]]&lt;25%, "REVIEW", "OK")</f>
        <v>OK</v>
      </c>
    </row>
    <row r="416" spans="1:10" ht="15.6" x14ac:dyDescent="0.3">
      <c r="A416" s="17" t="s">
        <v>1677</v>
      </c>
      <c r="B416" s="12" t="s">
        <v>1825</v>
      </c>
      <c r="C416" s="12" t="s">
        <v>1430</v>
      </c>
      <c r="D416" s="10"/>
      <c r="E416" s="10"/>
      <c r="F416" s="12"/>
      <c r="G416" s="46">
        <v>4.99</v>
      </c>
      <c r="H416" s="46" cm="1">
        <f t="array" ref="H416">ROUND(G416*IF(OR(MID(A416,5,3)={"BFF","PRK","FPL","LMB","FFI","MET","RIC","FLR","SUG","OIL","DRK","JCE","FEG"}),1.21,IF(OR(MID(A416,5,3)={"FVG","FFR"}),1.33,IF(OR(MID(A416,5,3)={"FBT","FCH","FMK","FYG","MLK","ICE","FRV","FPO","FRF","FCC","BRD"}),1.28,IF(OR(MID(A416,5,3)={"BIS","CRP","HRB","TUR","IND","HYG"}),1.38,1.31)))),2)</f>
        <v>6.89</v>
      </c>
      <c r="I416" s="29">
        <f>(Table1[[#This Row],[SALE PRICE]]-Table1[[#This Row],[COST PRICE]])/Table1[[#This Row],[SALE PRICE]]</f>
        <v>0.27576197387518137</v>
      </c>
      <c r="J416" s="26" t="str">
        <f>IF(Table1[[#This Row],[MARGIN]]&lt;25%, "REVIEW", "OK")</f>
        <v>OK</v>
      </c>
    </row>
    <row r="417" spans="1:10" ht="15.6" x14ac:dyDescent="0.3">
      <c r="A417" s="18" t="s">
        <v>1678</v>
      </c>
      <c r="B417" s="13" t="s">
        <v>1826</v>
      </c>
      <c r="C417" s="13" t="s">
        <v>1426</v>
      </c>
      <c r="D417" s="11"/>
      <c r="E417" s="11"/>
      <c r="F417" s="13"/>
      <c r="G417" s="47">
        <v>25.49</v>
      </c>
      <c r="H417" s="47" cm="1">
        <f t="array" ref="H417">ROUND(G417*IF(OR(MID(A417,5,3)={"BFF","PRK","FPL","LMB","FFI","MET","RIC","FLR","SUG","OIL","DRK","JCE","FEG"}),1.21,IF(OR(MID(A417,5,3)={"FVG","FFR"}),1.33,IF(OR(MID(A417,5,3)={"FBT","FCH","FMK","FYG","MLK","ICE","FRV","FPO","FRF","FCC","BRD"}),1.28,IF(OR(MID(A417,5,3)={"BIS","CRP","HRB","TUR","IND","HYG"}),1.38,1.31)))),2)</f>
        <v>35.18</v>
      </c>
      <c r="I417" s="27">
        <f>(Table1[[#This Row],[SALE PRICE]]-Table1[[#This Row],[COST PRICE]])/Table1[[#This Row],[SALE PRICE]]</f>
        <v>0.27544059124502562</v>
      </c>
      <c r="J417" s="27" t="str">
        <f>IF(Table1[[#This Row],[MARGIN]]&lt;25%, "REVIEW", "OK")</f>
        <v>OK</v>
      </c>
    </row>
    <row r="418" spans="1:10" ht="15.6" x14ac:dyDescent="0.3">
      <c r="A418" s="17" t="s">
        <v>1679</v>
      </c>
      <c r="B418" s="12" t="s">
        <v>1827</v>
      </c>
      <c r="C418" s="12" t="s">
        <v>1430</v>
      </c>
      <c r="D418" s="10"/>
      <c r="E418" s="10"/>
      <c r="F418" s="12"/>
      <c r="G418" s="46">
        <v>5.49</v>
      </c>
      <c r="H418" s="46" cm="1">
        <f t="array" ref="H418">ROUND(G418*IF(OR(MID(A418,5,3)={"BFF","PRK","FPL","LMB","FFI","MET","RIC","FLR","SUG","OIL","DRK","JCE","FEG"}),1.21,IF(OR(MID(A418,5,3)={"FVG","FFR"}),1.33,IF(OR(MID(A418,5,3)={"FBT","FCH","FMK","FYG","MLK","ICE","FRV","FPO","FRF","FCC","BRD"}),1.28,IF(OR(MID(A418,5,3)={"BIS","CRP","HRB","TUR","IND","HYG"}),1.38,1.31)))),2)</f>
        <v>7.58</v>
      </c>
      <c r="I418" s="29">
        <f>(Table1[[#This Row],[SALE PRICE]]-Table1[[#This Row],[COST PRICE]])/Table1[[#This Row],[SALE PRICE]]</f>
        <v>0.27572559366754618</v>
      </c>
      <c r="J418" s="26" t="str">
        <f>IF(Table1[[#This Row],[MARGIN]]&lt;25%, "REVIEW", "OK")</f>
        <v>OK</v>
      </c>
    </row>
    <row r="419" spans="1:10" ht="15.6" x14ac:dyDescent="0.3">
      <c r="A419" s="18" t="s">
        <v>1680</v>
      </c>
      <c r="B419" s="13" t="s">
        <v>1828</v>
      </c>
      <c r="C419" s="13" t="s">
        <v>1426</v>
      </c>
      <c r="D419" s="11"/>
      <c r="E419" s="11"/>
      <c r="F419" s="13"/>
      <c r="G419" s="47">
        <v>30.99</v>
      </c>
      <c r="H419" s="47" cm="1">
        <f t="array" ref="H419">ROUND(G419*IF(OR(MID(A419,5,3)={"BFF","PRK","FPL","LMB","FFI","MET","RIC","FLR","SUG","OIL","DRK","JCE","FEG"}),1.21,IF(OR(MID(A419,5,3)={"FVG","FFR"}),1.33,IF(OR(MID(A419,5,3)={"FBT","FCH","FMK","FYG","MLK","ICE","FRV","FPO","FRF","FCC","BRD"}),1.28,IF(OR(MID(A419,5,3)={"BIS","CRP","HRB","TUR","IND","HYG"}),1.38,1.31)))),2)</f>
        <v>42.77</v>
      </c>
      <c r="I419" s="27">
        <f>(Table1[[#This Row],[SALE PRICE]]-Table1[[#This Row],[COST PRICE]])/Table1[[#This Row],[SALE PRICE]]</f>
        <v>0.27542670095861593</v>
      </c>
      <c r="J419" s="27" t="str">
        <f>IF(Table1[[#This Row],[MARGIN]]&lt;25%, "REVIEW", "OK")</f>
        <v>OK</v>
      </c>
    </row>
    <row r="420" spans="1:10" ht="15.6" x14ac:dyDescent="0.3">
      <c r="A420" s="17" t="s">
        <v>1681</v>
      </c>
      <c r="B420" s="12" t="s">
        <v>1829</v>
      </c>
      <c r="C420" s="12" t="s">
        <v>1430</v>
      </c>
      <c r="D420" s="10"/>
      <c r="E420" s="10"/>
      <c r="F420" s="12"/>
      <c r="G420" s="46">
        <v>4.99</v>
      </c>
      <c r="H420" s="46" cm="1">
        <f t="array" ref="H420">ROUND(G420*IF(OR(MID(A420,5,3)={"BFF","PRK","FPL","LMB","FFI","MET","RIC","FLR","SUG","OIL","DRK","JCE","FEG"}),1.21,IF(OR(MID(A420,5,3)={"FVG","FFR"}),1.33,IF(OR(MID(A420,5,3)={"FBT","FCH","FMK","FYG","MLK","ICE","FRV","FPO","FRF","FCC","BRD"}),1.28,IF(OR(MID(A420,5,3)={"BIS","CRP","HRB","TUR","IND","HYG"}),1.38,1.31)))),2)</f>
        <v>6.89</v>
      </c>
      <c r="I420" s="29">
        <f>(Table1[[#This Row],[SALE PRICE]]-Table1[[#This Row],[COST PRICE]])/Table1[[#This Row],[SALE PRICE]]</f>
        <v>0.27576197387518137</v>
      </c>
      <c r="J420" s="26" t="str">
        <f>IF(Table1[[#This Row],[MARGIN]]&lt;25%, "REVIEW", "OK")</f>
        <v>OK</v>
      </c>
    </row>
    <row r="421" spans="1:10" ht="15.6" x14ac:dyDescent="0.3">
      <c r="A421" s="18" t="s">
        <v>1682</v>
      </c>
      <c r="B421" s="13" t="s">
        <v>1830</v>
      </c>
      <c r="C421" s="13" t="s">
        <v>1426</v>
      </c>
      <c r="D421" s="11"/>
      <c r="E421" s="11"/>
      <c r="F421" s="13"/>
      <c r="G421" s="47">
        <v>22.49</v>
      </c>
      <c r="H421" s="47" cm="1">
        <f t="array" ref="H421">ROUND(G421*IF(OR(MID(A421,5,3)={"BFF","PRK","FPL","LMB","FFI","MET","RIC","FLR","SUG","OIL","DRK","JCE","FEG"}),1.21,IF(OR(MID(A421,5,3)={"FVG","FFR"}),1.33,IF(OR(MID(A421,5,3)={"FBT","FCH","FMK","FYG","MLK","ICE","FRV","FPO","FRF","FCC","BRD"}),1.28,IF(OR(MID(A421,5,3)={"BIS","CRP","HRB","TUR","IND","HYG"}),1.38,1.31)))),2)</f>
        <v>31.04</v>
      </c>
      <c r="I421" s="27">
        <f>(Table1[[#This Row],[SALE PRICE]]-Table1[[#This Row],[COST PRICE]])/Table1[[#This Row],[SALE PRICE]]</f>
        <v>0.27545103092783507</v>
      </c>
      <c r="J421" s="27" t="str">
        <f>IF(Table1[[#This Row],[MARGIN]]&lt;25%, "REVIEW", "OK")</f>
        <v>OK</v>
      </c>
    </row>
    <row r="422" spans="1:10" ht="15.6" x14ac:dyDescent="0.3">
      <c r="A422" s="17" t="s">
        <v>1683</v>
      </c>
      <c r="B422" s="12" t="s">
        <v>1831</v>
      </c>
      <c r="C422" s="12" t="s">
        <v>1430</v>
      </c>
      <c r="D422" s="10"/>
      <c r="E422" s="10"/>
      <c r="F422" s="12"/>
      <c r="G422" s="46">
        <v>11.99</v>
      </c>
      <c r="H422" s="46" cm="1">
        <f t="array" ref="H422">ROUND(G422*IF(OR(MID(A422,5,3)={"BFF","PRK","FPL","LMB","FFI","MET","RIC","FLR","SUG","OIL","DRK","JCE","FEG"}),1.21,IF(OR(MID(A422,5,3)={"FVG","FFR"}),1.33,IF(OR(MID(A422,5,3)={"FBT","FCH","FMK","FYG","MLK","ICE","FRV","FPO","FRF","FCC","BRD"}),1.28,IF(OR(MID(A422,5,3)={"BIS","CRP","HRB","TUR","IND","HYG"}),1.38,1.31)))),2)</f>
        <v>16.55</v>
      </c>
      <c r="I422" s="29">
        <f>(Table1[[#This Row],[SALE PRICE]]-Table1[[#This Row],[COST PRICE]])/Table1[[#This Row],[SALE PRICE]]</f>
        <v>0.2755287009063444</v>
      </c>
      <c r="J422" s="26" t="str">
        <f>IF(Table1[[#This Row],[MARGIN]]&lt;25%, "REVIEW", "OK")</f>
        <v>OK</v>
      </c>
    </row>
    <row r="423" spans="1:10" ht="15.6" x14ac:dyDescent="0.3">
      <c r="A423" s="18" t="s">
        <v>1684</v>
      </c>
      <c r="B423" s="13" t="s">
        <v>1832</v>
      </c>
      <c r="C423" s="13" t="s">
        <v>1426</v>
      </c>
      <c r="D423" s="11"/>
      <c r="E423" s="11"/>
      <c r="F423" s="13"/>
      <c r="G423" s="47">
        <v>63.99</v>
      </c>
      <c r="H423" s="47" cm="1">
        <f t="array" ref="H423">ROUND(G423*IF(OR(MID(A423,5,3)={"BFF","PRK","FPL","LMB","FFI","MET","RIC","FLR","SUG","OIL","DRK","JCE","FEG"}),1.21,IF(OR(MID(A423,5,3)={"FVG","FFR"}),1.33,IF(OR(MID(A423,5,3)={"FBT","FCH","FMK","FYG","MLK","ICE","FRV","FPO","FRF","FCC","BRD"}),1.28,IF(OR(MID(A423,5,3)={"BIS","CRP","HRB","TUR","IND","HYG"}),1.38,1.31)))),2)</f>
        <v>88.31</v>
      </c>
      <c r="I423" s="27">
        <f>(Table1[[#This Row],[SALE PRICE]]-Table1[[#This Row],[COST PRICE]])/Table1[[#This Row],[SALE PRICE]]</f>
        <v>0.2753935001698562</v>
      </c>
      <c r="J423" s="27" t="str">
        <f>IF(Table1[[#This Row],[MARGIN]]&lt;25%, "REVIEW", "OK")</f>
        <v>OK</v>
      </c>
    </row>
    <row r="424" spans="1:10" ht="15.6" x14ac:dyDescent="0.3">
      <c r="A424" s="17" t="s">
        <v>1685</v>
      </c>
      <c r="B424" s="12" t="s">
        <v>1833</v>
      </c>
      <c r="C424" s="12" t="s">
        <v>1430</v>
      </c>
      <c r="D424" s="10"/>
      <c r="E424" s="10"/>
      <c r="F424" s="12"/>
      <c r="G424" s="46">
        <v>9.99</v>
      </c>
      <c r="H424" s="46" cm="1">
        <f t="array" ref="H424">ROUND(G424*IF(OR(MID(A424,5,3)={"BFF","PRK","FPL","LMB","FFI","MET","RIC","FLR","SUG","OIL","DRK","JCE","FEG"}),1.21,IF(OR(MID(A424,5,3)={"FVG","FFR"}),1.33,IF(OR(MID(A424,5,3)={"FBT","FCH","FMK","FYG","MLK","ICE","FRV","FPO","FRF","FCC","BRD"}),1.28,IF(OR(MID(A424,5,3)={"BIS","CRP","HRB","TUR","IND","HYG"}),1.38,1.31)))),2)</f>
        <v>13.79</v>
      </c>
      <c r="I424" s="29">
        <f>(Table1[[#This Row],[SALE PRICE]]-Table1[[#This Row],[COST PRICE]])/Table1[[#This Row],[SALE PRICE]]</f>
        <v>0.27556200145032628</v>
      </c>
      <c r="J424" s="26" t="str">
        <f>IF(Table1[[#This Row],[MARGIN]]&lt;25%, "REVIEW", "OK")</f>
        <v>OK</v>
      </c>
    </row>
    <row r="425" spans="1:10" ht="15.6" x14ac:dyDescent="0.3">
      <c r="A425" s="18" t="s">
        <v>1686</v>
      </c>
      <c r="B425" s="13" t="s">
        <v>1834</v>
      </c>
      <c r="C425" s="13" t="s">
        <v>1426</v>
      </c>
      <c r="D425" s="11"/>
      <c r="E425" s="11"/>
      <c r="F425" s="13"/>
      <c r="G425" s="47">
        <v>53.89</v>
      </c>
      <c r="H425" s="47" cm="1">
        <f t="array" ref="H425">ROUND(G425*IF(OR(MID(A425,5,3)={"BFF","PRK","FPL","LMB","FFI","MET","RIC","FLR","SUG","OIL","DRK","JCE","FEG"}),1.21,IF(OR(MID(A425,5,3)={"FVG","FFR"}),1.33,IF(OR(MID(A425,5,3)={"FBT","FCH","FMK","FYG","MLK","ICE","FRV","FPO","FRF","FCC","BRD"}),1.28,IF(OR(MID(A425,5,3)={"BIS","CRP","HRB","TUR","IND","HYG"}),1.38,1.31)))),2)</f>
        <v>74.37</v>
      </c>
      <c r="I425" s="27">
        <f>(Table1[[#This Row],[SALE PRICE]]-Table1[[#This Row],[COST PRICE]])/Table1[[#This Row],[SALE PRICE]]</f>
        <v>0.27537985746940974</v>
      </c>
      <c r="J425" s="27" t="str">
        <f>IF(Table1[[#This Row],[MARGIN]]&lt;25%, "REVIEW", "OK")</f>
        <v>OK</v>
      </c>
    </row>
    <row r="426" spans="1:10" ht="15.6" x14ac:dyDescent="0.3">
      <c r="A426" s="17" t="s">
        <v>1687</v>
      </c>
      <c r="B426" s="12" t="s">
        <v>1688</v>
      </c>
      <c r="C426" s="12" t="s">
        <v>1430</v>
      </c>
      <c r="D426" s="10"/>
      <c r="E426" s="10"/>
      <c r="F426" s="12"/>
      <c r="G426" s="46">
        <v>11.99</v>
      </c>
      <c r="H426" s="46" cm="1">
        <f t="array" ref="H426">ROUND(G426*IF(OR(MID(A426,5,3)={"BFF","PRK","FPL","LMB","FFI","MET","RIC","FLR","SUG","OIL","DRK","JCE","FEG"}),1.21,IF(OR(MID(A426,5,3)={"FVG","FFR"}),1.33,IF(OR(MID(A426,5,3)={"FBT","FCH","FMK","FYG","MLK","ICE","FRV","FPO","FRF","FCC","BRD"}),1.28,IF(OR(MID(A426,5,3)={"BIS","CRP","HRB","TUR","IND","HYG"}),1.38,1.31)))),2)</f>
        <v>16.55</v>
      </c>
      <c r="I426" s="29">
        <f>(Table1[[#This Row],[SALE PRICE]]-Table1[[#This Row],[COST PRICE]])/Table1[[#This Row],[SALE PRICE]]</f>
        <v>0.2755287009063444</v>
      </c>
      <c r="J426" s="26" t="str">
        <f>IF(Table1[[#This Row],[MARGIN]]&lt;25%, "REVIEW", "OK")</f>
        <v>OK</v>
      </c>
    </row>
    <row r="427" spans="1:10" ht="15.6" x14ac:dyDescent="0.3">
      <c r="A427" s="18" t="s">
        <v>1689</v>
      </c>
      <c r="B427" s="13" t="s">
        <v>1690</v>
      </c>
      <c r="C427" s="13" t="s">
        <v>1426</v>
      </c>
      <c r="D427" s="11"/>
      <c r="E427" s="11"/>
      <c r="F427" s="13"/>
      <c r="G427" s="47">
        <v>71.489999999999995</v>
      </c>
      <c r="H427" s="47" cm="1">
        <f t="array" ref="H427">ROUND(G427*IF(OR(MID(A427,5,3)={"BFF","PRK","FPL","LMB","FFI","MET","RIC","FLR","SUG","OIL","DRK","JCE","FEG"}),1.21,IF(OR(MID(A427,5,3)={"FVG","FFR"}),1.33,IF(OR(MID(A427,5,3)={"FBT","FCH","FMK","FYG","MLK","ICE","FRV","FPO","FRF","FCC","BRD"}),1.28,IF(OR(MID(A427,5,3)={"BIS","CRP","HRB","TUR","IND","HYG"}),1.38,1.31)))),2)</f>
        <v>98.66</v>
      </c>
      <c r="I427" s="27">
        <f>(Table1[[#This Row],[SALE PRICE]]-Table1[[#This Row],[COST PRICE]])/Table1[[#This Row],[SALE PRICE]]</f>
        <v>0.27539022906953176</v>
      </c>
      <c r="J427" s="27" t="str">
        <f>IF(Table1[[#This Row],[MARGIN]]&lt;25%, "REVIEW", "OK")</f>
        <v>OK</v>
      </c>
    </row>
    <row r="428" spans="1:10" ht="15.6" x14ac:dyDescent="0.3">
      <c r="A428" s="17" t="s">
        <v>1691</v>
      </c>
      <c r="B428" s="12" t="s">
        <v>1835</v>
      </c>
      <c r="C428" s="12" t="s">
        <v>1430</v>
      </c>
      <c r="D428" s="10"/>
      <c r="E428" s="10"/>
      <c r="F428" s="12"/>
      <c r="G428" s="46">
        <v>14.99</v>
      </c>
      <c r="H428" s="46" cm="1">
        <f t="array" ref="H428">ROUND(G428*IF(OR(MID(A428,5,3)={"BFF","PRK","FPL","LMB","FFI","MET","RIC","FLR","SUG","OIL","DRK","JCE","FEG"}),1.21,IF(OR(MID(A428,5,3)={"FVG","FFR"}),1.33,IF(OR(MID(A428,5,3)={"FBT","FCH","FMK","FYG","MLK","ICE","FRV","FPO","FRF","FCC","BRD"}),1.28,IF(OR(MID(A428,5,3)={"BIS","CRP","HRB","TUR","IND","HYG"}),1.38,1.31)))),2)</f>
        <v>20.69</v>
      </c>
      <c r="I428" s="29">
        <f>(Table1[[#This Row],[SALE PRICE]]-Table1[[#This Row],[COST PRICE]])/Table1[[#This Row],[SALE PRICE]]</f>
        <v>0.27549540840985987</v>
      </c>
      <c r="J428" s="26" t="str">
        <f>IF(Table1[[#This Row],[MARGIN]]&lt;25%, "REVIEW", "OK")</f>
        <v>OK</v>
      </c>
    </row>
    <row r="429" spans="1:10" ht="15.6" x14ac:dyDescent="0.3">
      <c r="A429" s="18" t="s">
        <v>1692</v>
      </c>
      <c r="B429" s="13" t="s">
        <v>1836</v>
      </c>
      <c r="C429" s="13" t="s">
        <v>1426</v>
      </c>
      <c r="D429" s="11"/>
      <c r="E429" s="11"/>
      <c r="F429" s="13"/>
      <c r="G429" s="47">
        <v>87.49</v>
      </c>
      <c r="H429" s="47" cm="1">
        <f t="array" ref="H429">ROUND(G429*IF(OR(MID(A429,5,3)={"BFF","PRK","FPL","LMB","FFI","MET","RIC","FLR","SUG","OIL","DRK","JCE","FEG"}),1.21,IF(OR(MID(A429,5,3)={"FVG","FFR"}),1.33,IF(OR(MID(A429,5,3)={"FBT","FCH","FMK","FYG","MLK","ICE","FRV","FPO","FRF","FCC","BRD"}),1.28,IF(OR(MID(A429,5,3)={"BIS","CRP","HRB","TUR","IND","HYG"}),1.38,1.31)))),2)</f>
        <v>120.74</v>
      </c>
      <c r="I429" s="27">
        <f>(Table1[[#This Row],[SALE PRICE]]-Table1[[#This Row],[COST PRICE]])/Table1[[#This Row],[SALE PRICE]]</f>
        <v>0.27538512506211693</v>
      </c>
      <c r="J429" s="27" t="str">
        <f>IF(Table1[[#This Row],[MARGIN]]&lt;25%, "REVIEW", "OK")</f>
        <v>OK</v>
      </c>
    </row>
    <row r="430" spans="1:10" ht="15.6" x14ac:dyDescent="0.3">
      <c r="A430" s="17" t="s">
        <v>1693</v>
      </c>
      <c r="B430" s="12" t="s">
        <v>1837</v>
      </c>
      <c r="C430" s="12" t="s">
        <v>1430</v>
      </c>
      <c r="D430" s="10"/>
      <c r="E430" s="10"/>
      <c r="F430" s="12"/>
      <c r="G430" s="46">
        <v>9.99</v>
      </c>
      <c r="H430" s="46" cm="1">
        <f t="array" ref="H430">ROUND(G430*IF(OR(MID(A430,5,3)={"BFF","PRK","FPL","LMB","FFI","MET","RIC","FLR","SUG","OIL","DRK","JCE","FEG"}),1.21,IF(OR(MID(A430,5,3)={"FVG","FFR"}),1.33,IF(OR(MID(A430,5,3)={"FBT","FCH","FMK","FYG","MLK","ICE","FRV","FPO","FRF","FCC","BRD"}),1.28,IF(OR(MID(A430,5,3)={"BIS","CRP","HRB","TUR","IND","HYG"}),1.38,1.31)))),2)</f>
        <v>13.79</v>
      </c>
      <c r="I430" s="29">
        <f>(Table1[[#This Row],[SALE PRICE]]-Table1[[#This Row],[COST PRICE]])/Table1[[#This Row],[SALE PRICE]]</f>
        <v>0.27556200145032628</v>
      </c>
      <c r="J430" s="26" t="str">
        <f>IF(Table1[[#This Row],[MARGIN]]&lt;25%, "REVIEW", "OK")</f>
        <v>OK</v>
      </c>
    </row>
    <row r="431" spans="1:10" ht="15.6" x14ac:dyDescent="0.3">
      <c r="A431" s="18" t="s">
        <v>1694</v>
      </c>
      <c r="B431" s="13" t="s">
        <v>1838</v>
      </c>
      <c r="C431" s="13" t="s">
        <v>1426</v>
      </c>
      <c r="D431" s="11"/>
      <c r="E431" s="11"/>
      <c r="F431" s="13"/>
      <c r="G431" s="47">
        <v>59.89</v>
      </c>
      <c r="H431" s="47" cm="1">
        <f t="array" ref="H431">ROUND(G431*IF(OR(MID(A431,5,3)={"BFF","PRK","FPL","LMB","FFI","MET","RIC","FLR","SUG","OIL","DRK","JCE","FEG"}),1.21,IF(OR(MID(A431,5,3)={"FVG","FFR"}),1.33,IF(OR(MID(A431,5,3)={"FBT","FCH","FMK","FYG","MLK","ICE","FRV","FPO","FRF","FCC","BRD"}),1.28,IF(OR(MID(A431,5,3)={"BIS","CRP","HRB","TUR","IND","HYG"}),1.38,1.31)))),2)</f>
        <v>82.65</v>
      </c>
      <c r="I431" s="27">
        <f>(Table1[[#This Row],[SALE PRICE]]-Table1[[#This Row],[COST PRICE]])/Table1[[#This Row],[SALE PRICE]]</f>
        <v>0.27537810042347249</v>
      </c>
      <c r="J431" s="27" t="str">
        <f>IF(Table1[[#This Row],[MARGIN]]&lt;25%, "REVIEW", "OK")</f>
        <v>OK</v>
      </c>
    </row>
    <row r="432" spans="1:10" ht="15.6" x14ac:dyDescent="0.3">
      <c r="A432" s="17" t="s">
        <v>1695</v>
      </c>
      <c r="B432" s="12" t="s">
        <v>1839</v>
      </c>
      <c r="C432" s="12" t="s">
        <v>1430</v>
      </c>
      <c r="D432" s="10"/>
      <c r="E432" s="10"/>
      <c r="F432" s="12"/>
      <c r="G432" s="46">
        <v>9.49</v>
      </c>
      <c r="H432" s="46" cm="1">
        <f t="array" ref="H432">ROUND(G432*IF(OR(MID(A432,5,3)={"BFF","PRK","FPL","LMB","FFI","MET","RIC","FLR","SUG","OIL","DRK","JCE","FEG"}),1.21,IF(OR(MID(A432,5,3)={"FVG","FFR"}),1.33,IF(OR(MID(A432,5,3)={"FBT","FCH","FMK","FYG","MLK","ICE","FRV","FPO","FRF","FCC","BRD"}),1.28,IF(OR(MID(A432,5,3)={"BIS","CRP","HRB","TUR","IND","HYG"}),1.38,1.31)))),2)</f>
        <v>13.1</v>
      </c>
      <c r="I432" s="29">
        <f>(Table1[[#This Row],[SALE PRICE]]-Table1[[#This Row],[COST PRICE]])/Table1[[#This Row],[SALE PRICE]]</f>
        <v>0.2755725190839694</v>
      </c>
      <c r="J432" s="26" t="str">
        <f>IF(Table1[[#This Row],[MARGIN]]&lt;25%, "REVIEW", "OK")</f>
        <v>OK</v>
      </c>
    </row>
    <row r="433" spans="1:10" ht="15.6" x14ac:dyDescent="0.3">
      <c r="A433" s="18" t="s">
        <v>1696</v>
      </c>
      <c r="B433" s="13" t="s">
        <v>1840</v>
      </c>
      <c r="C433" s="13" t="s">
        <v>1426</v>
      </c>
      <c r="D433" s="11"/>
      <c r="E433" s="11"/>
      <c r="F433" s="13"/>
      <c r="G433" s="47">
        <v>56.89</v>
      </c>
      <c r="H433" s="47" cm="1">
        <f t="array" ref="H433">ROUND(G433*IF(OR(MID(A433,5,3)={"BFF","PRK","FPL","LMB","FFI","MET","RIC","FLR","SUG","OIL","DRK","JCE","FEG"}),1.21,IF(OR(MID(A433,5,3)={"FVG","FFR"}),1.33,IF(OR(MID(A433,5,3)={"FBT","FCH","FMK","FYG","MLK","ICE","FRV","FPO","FRF","FCC","BRD"}),1.28,IF(OR(MID(A433,5,3)={"BIS","CRP","HRB","TUR","IND","HYG"}),1.38,1.31)))),2)</f>
        <v>78.510000000000005</v>
      </c>
      <c r="I433" s="27">
        <f>(Table1[[#This Row],[SALE PRICE]]-Table1[[#This Row],[COST PRICE]])/Table1[[#This Row],[SALE PRICE]]</f>
        <v>0.27537893262004842</v>
      </c>
      <c r="J433" s="27" t="str">
        <f>IF(Table1[[#This Row],[MARGIN]]&lt;25%, "REVIEW", "OK")</f>
        <v>OK</v>
      </c>
    </row>
    <row r="434" spans="1:10" ht="15.6" x14ac:dyDescent="0.3">
      <c r="A434" s="17" t="s">
        <v>1697</v>
      </c>
      <c r="B434" s="12" t="s">
        <v>1841</v>
      </c>
      <c r="C434" s="12" t="s">
        <v>1430</v>
      </c>
      <c r="D434" s="10"/>
      <c r="E434" s="10"/>
      <c r="F434" s="12"/>
      <c r="G434" s="46">
        <v>13.49</v>
      </c>
      <c r="H434" s="46" cm="1">
        <f t="array" ref="H434">ROUND(G434*IF(OR(MID(A434,5,3)={"BFF","PRK","FPL","LMB","FFI","MET","RIC","FLR","SUG","OIL","DRK","JCE","FEG"}),1.21,IF(OR(MID(A434,5,3)={"FVG","FFR"}),1.33,IF(OR(MID(A434,5,3)={"FBT","FCH","FMK","FYG","MLK","ICE","FRV","FPO","FRF","FCC","BRD"}),1.28,IF(OR(MID(A434,5,3)={"BIS","CRP","HRB","TUR","IND","HYG"}),1.38,1.31)))),2)</f>
        <v>18.62</v>
      </c>
      <c r="I434" s="29">
        <f>(Table1[[#This Row],[SALE PRICE]]-Table1[[#This Row],[COST PRICE]])/Table1[[#This Row],[SALE PRICE]]</f>
        <v>0.27551020408163268</v>
      </c>
      <c r="J434" s="26" t="str">
        <f>IF(Table1[[#This Row],[MARGIN]]&lt;25%, "REVIEW", "OK")</f>
        <v>OK</v>
      </c>
    </row>
    <row r="435" spans="1:10" ht="15.6" x14ac:dyDescent="0.3">
      <c r="A435" s="18" t="s">
        <v>1698</v>
      </c>
      <c r="B435" s="13" t="s">
        <v>1842</v>
      </c>
      <c r="C435" s="13" t="s">
        <v>1426</v>
      </c>
      <c r="D435" s="11"/>
      <c r="E435" s="11"/>
      <c r="F435" s="13"/>
      <c r="G435" s="47">
        <v>78.989999999999995</v>
      </c>
      <c r="H435" s="47" cm="1">
        <f t="array" ref="H435">ROUND(G435*IF(OR(MID(A435,5,3)={"BFF","PRK","FPL","LMB","FFI","MET","RIC","FLR","SUG","OIL","DRK","JCE","FEG"}),1.21,IF(OR(MID(A435,5,3)={"FVG","FFR"}),1.33,IF(OR(MID(A435,5,3)={"FBT","FCH","FMK","FYG","MLK","ICE","FRV","FPO","FRF","FCC","BRD"}),1.28,IF(OR(MID(A435,5,3)={"BIS","CRP","HRB","TUR","IND","HYG"}),1.38,1.31)))),2)</f>
        <v>109.01</v>
      </c>
      <c r="I435" s="27">
        <f>(Table1[[#This Row],[SALE PRICE]]-Table1[[#This Row],[COST PRICE]])/Table1[[#This Row],[SALE PRICE]]</f>
        <v>0.27538757912118161</v>
      </c>
      <c r="J435" s="27" t="str">
        <f>IF(Table1[[#This Row],[MARGIN]]&lt;25%, "REVIEW", "OK")</f>
        <v>OK</v>
      </c>
    </row>
    <row r="436" spans="1:10" ht="15.6" x14ac:dyDescent="0.3">
      <c r="A436" s="17" t="s">
        <v>1699</v>
      </c>
      <c r="B436" s="12" t="s">
        <v>1843</v>
      </c>
      <c r="C436" s="12" t="s">
        <v>1430</v>
      </c>
      <c r="D436" s="10"/>
      <c r="E436" s="10"/>
      <c r="F436" s="12"/>
      <c r="G436" s="46">
        <v>12.99</v>
      </c>
      <c r="H436" s="46" cm="1">
        <f t="array" ref="H436">ROUND(G436*IF(OR(MID(A436,5,3)={"BFF","PRK","FPL","LMB","FFI","MET","RIC","FLR","SUG","OIL","DRK","JCE","FEG"}),1.21,IF(OR(MID(A436,5,3)={"FVG","FFR"}),1.33,IF(OR(MID(A436,5,3)={"FBT","FCH","FMK","FYG","MLK","ICE","FRV","FPO","FRF","FCC","BRD"}),1.28,IF(OR(MID(A436,5,3)={"BIS","CRP","HRB","TUR","IND","HYG"}),1.38,1.31)))),2)</f>
        <v>17.93</v>
      </c>
      <c r="I436" s="29">
        <f>(Table1[[#This Row],[SALE PRICE]]-Table1[[#This Row],[COST PRICE]])/Table1[[#This Row],[SALE PRICE]]</f>
        <v>0.27551589514779695</v>
      </c>
      <c r="J436" s="26" t="str">
        <f>IF(Table1[[#This Row],[MARGIN]]&lt;25%, "REVIEW", "OK")</f>
        <v>OK</v>
      </c>
    </row>
    <row r="437" spans="1:10" ht="15.6" x14ac:dyDescent="0.3">
      <c r="A437" s="18" t="s">
        <v>1700</v>
      </c>
      <c r="B437" s="13" t="s">
        <v>1844</v>
      </c>
      <c r="C437" s="13" t="s">
        <v>1430</v>
      </c>
      <c r="D437" s="11"/>
      <c r="E437" s="11"/>
      <c r="F437" s="13"/>
      <c r="G437" s="47">
        <v>9.49</v>
      </c>
      <c r="H437" s="47" cm="1">
        <f t="array" ref="H437">ROUND(G437*IF(OR(MID(A437,5,3)={"BFF","PRK","FPL","LMB","FFI","MET","RIC","FLR","SUG","OIL","DRK","JCE","FEG"}),1.21,IF(OR(MID(A437,5,3)={"FVG","FFR"}),1.33,IF(OR(MID(A437,5,3)={"FBT","FCH","FMK","FYG","MLK","ICE","FRV","FPO","FRF","FCC","BRD"}),1.28,IF(OR(MID(A437,5,3)={"BIS","CRP","HRB","TUR","IND","HYG"}),1.38,1.31)))),2)</f>
        <v>13.1</v>
      </c>
      <c r="I437" s="27">
        <f>(Table1[[#This Row],[SALE PRICE]]-Table1[[#This Row],[COST PRICE]])/Table1[[#This Row],[SALE PRICE]]</f>
        <v>0.2755725190839694</v>
      </c>
      <c r="J437" s="27" t="str">
        <f>IF(Table1[[#This Row],[MARGIN]]&lt;25%, "REVIEW", "OK")</f>
        <v>OK</v>
      </c>
    </row>
    <row r="438" spans="1:10" ht="15.6" x14ac:dyDescent="0.3">
      <c r="A438" s="17" t="s">
        <v>1701</v>
      </c>
      <c r="B438" s="12" t="s">
        <v>1845</v>
      </c>
      <c r="C438" s="12" t="s">
        <v>1430</v>
      </c>
      <c r="D438" s="10"/>
      <c r="E438" s="10"/>
      <c r="F438" s="12"/>
      <c r="G438" s="46">
        <v>3.49</v>
      </c>
      <c r="H438" s="46" cm="1">
        <f t="array" ref="H438">ROUND(G438*IF(OR(MID(A438,5,3)={"BFF","PRK","FPL","LMB","FFI","MET","RIC","FLR","SUG","OIL","DRK","JCE","FEG"}),1.21,IF(OR(MID(A438,5,3)={"FVG","FFR"}),1.33,IF(OR(MID(A438,5,3)={"FBT","FCH","FMK","FYG","MLK","ICE","FRV","FPO","FRF","FCC","BRD"}),1.28,IF(OR(MID(A438,5,3)={"BIS","CRP","HRB","TUR","IND","HYG"}),1.38,1.31)))),2)</f>
        <v>4.82</v>
      </c>
      <c r="I438" s="29">
        <f>(Table1[[#This Row],[SALE PRICE]]-Table1[[#This Row],[COST PRICE]])/Table1[[#This Row],[SALE PRICE]]</f>
        <v>0.27593360995850624</v>
      </c>
      <c r="J438" s="26" t="str">
        <f>IF(Table1[[#This Row],[MARGIN]]&lt;25%, "REVIEW", "OK")</f>
        <v>OK</v>
      </c>
    </row>
    <row r="439" spans="1:10" ht="15.6" x14ac:dyDescent="0.3">
      <c r="A439" s="18" t="s">
        <v>1702</v>
      </c>
      <c r="B439" s="13" t="s">
        <v>1846</v>
      </c>
      <c r="C439" s="13" t="s">
        <v>1430</v>
      </c>
      <c r="D439" s="11"/>
      <c r="E439" s="11"/>
      <c r="F439" s="13"/>
      <c r="G439" s="47">
        <v>2.29</v>
      </c>
      <c r="H439" s="47" cm="1">
        <f t="array" ref="H439">ROUND(G439*IF(OR(MID(A439,5,3)={"BFF","PRK","FPL","LMB","FFI","MET","RIC","FLR","SUG","OIL","DRK","JCE","FEG"}),1.21,IF(OR(MID(A439,5,3)={"FVG","FFR"}),1.33,IF(OR(MID(A439,5,3)={"FBT","FCH","FMK","FYG","MLK","ICE","FRV","FPO","FRF","FCC","BRD"}),1.28,IF(OR(MID(A439,5,3)={"BIS","CRP","HRB","TUR","IND","HYG"}),1.38,1.31)))),2)</f>
        <v>3.16</v>
      </c>
      <c r="I439" s="27">
        <f>(Table1[[#This Row],[SALE PRICE]]-Table1[[#This Row],[COST PRICE]])/Table1[[#This Row],[SALE PRICE]]</f>
        <v>0.27531645569620256</v>
      </c>
      <c r="J439" s="27" t="str">
        <f>IF(Table1[[#This Row],[MARGIN]]&lt;25%, "REVIEW", "OK")</f>
        <v>OK</v>
      </c>
    </row>
    <row r="440" spans="1:10" ht="15.6" x14ac:dyDescent="0.3">
      <c r="A440" s="17" t="s">
        <v>1703</v>
      </c>
      <c r="B440" s="12" t="s">
        <v>1847</v>
      </c>
      <c r="C440" s="12" t="s">
        <v>1430</v>
      </c>
      <c r="D440" s="10"/>
      <c r="E440" s="10"/>
      <c r="F440" s="12"/>
      <c r="G440" s="46">
        <v>5.49</v>
      </c>
      <c r="H440" s="46" cm="1">
        <f t="array" ref="H440">ROUND(G440*IF(OR(MID(A440,5,3)={"BFF","PRK","FPL","LMB","FFI","MET","RIC","FLR","SUG","OIL","DRK","JCE","FEG"}),1.21,IF(OR(MID(A440,5,3)={"FVG","FFR"}),1.33,IF(OR(MID(A440,5,3)={"FBT","FCH","FMK","FYG","MLK","ICE","FRV","FPO","FRF","FCC","BRD"}),1.28,IF(OR(MID(A440,5,3)={"BIS","CRP","HRB","TUR","IND","HYG"}),1.38,1.31)))),2)</f>
        <v>7.58</v>
      </c>
      <c r="I440" s="29">
        <f>(Table1[[#This Row],[SALE PRICE]]-Table1[[#This Row],[COST PRICE]])/Table1[[#This Row],[SALE PRICE]]</f>
        <v>0.27572559366754618</v>
      </c>
      <c r="J440" s="26" t="str">
        <f>IF(Table1[[#This Row],[MARGIN]]&lt;25%, "REVIEW", "OK")</f>
        <v>OK</v>
      </c>
    </row>
    <row r="441" spans="1:10" s="1" customFormat="1" ht="15.6" x14ac:dyDescent="0.3">
      <c r="A441" s="16" t="s">
        <v>1580</v>
      </c>
      <c r="B441" s="2" t="s">
        <v>8</v>
      </c>
      <c r="C441" s="2"/>
      <c r="D441" s="2" t="s">
        <v>8</v>
      </c>
      <c r="E441" s="2" t="s">
        <v>8</v>
      </c>
      <c r="F441" s="2" t="s">
        <v>8</v>
      </c>
      <c r="G441" s="48" t="s">
        <v>8</v>
      </c>
      <c r="H441" s="48" t="e" cm="1">
        <f t="array" ref="H441">ROUND(G441*IF(OR(MID(A441,5,3)={"BFF","PRK","FPL","LMB","FFI","MET","RIC","FLR","SUG","OIL","DRK","JCE","FEG"}),1.21,IF(OR(MID(A441,5,3)={"FVG","FFR"}),1.33,IF(OR(MID(A441,5,3)={"FBT","FCH","FMK","FYG","MLK","ICE","FRV","FPO","FRF","FCC","BRD"}),1.28,IF(OR(MID(A441,5,3)={"BIS","CRP","HRB","TUR","IND","HYG"}),1.38,1.31)))),2)</f>
        <v>#VALUE!</v>
      </c>
      <c r="I441" s="19"/>
      <c r="J441" s="19"/>
    </row>
    <row r="442" spans="1:10" ht="15.6" x14ac:dyDescent="0.3">
      <c r="A442" s="18" t="s">
        <v>547</v>
      </c>
      <c r="B442" s="13" t="s">
        <v>548</v>
      </c>
      <c r="C442" s="13" t="s">
        <v>1427</v>
      </c>
      <c r="D442" s="11" t="s">
        <v>8</v>
      </c>
      <c r="E442" s="11" t="s">
        <v>8</v>
      </c>
      <c r="F442" s="13" t="s">
        <v>8</v>
      </c>
      <c r="G442" s="47">
        <v>7.49</v>
      </c>
      <c r="H442" s="46" cm="1">
        <f t="array" ref="H442">ROUND(G442*IF(OR(MID(A442,5,3)={"BFF","PRK","FPL","LMB","FFI","MET","RIC","FLR","SUG","OIL","DRK","JCE","FEG"}),1.21,IF(OR(MID(A442,5,3)={"FVG","FFR"}),1.33,IF(OR(MID(A442,5,3)={"FBT","FCH","FMK","FYG","MLK","ICE","FRV","FPO","FRF","FCC","BRD"}),1.28,IF(OR(MID(A442,5,3)={"BIS","CRP","HRB","TUR","IND","HYG"}),1.38,1.31)))),2)</f>
        <v>10.34</v>
      </c>
      <c r="I442" s="29">
        <f>(Table1[[#This Row],[SALE PRICE]]-Table1[[#This Row],[COST PRICE]])/Table1[[#This Row],[SALE PRICE]]</f>
        <v>0.27562862669245647</v>
      </c>
      <c r="J442" s="26" t="str">
        <f>IF(Table1[[#This Row],[MARGIN]]&lt;25%, "REVIEW", "OK")</f>
        <v>OK</v>
      </c>
    </row>
    <row r="443" spans="1:10" ht="15.6" x14ac:dyDescent="0.3">
      <c r="A443" s="17" t="s">
        <v>549</v>
      </c>
      <c r="B443" s="12" t="s">
        <v>550</v>
      </c>
      <c r="C443" s="12" t="s">
        <v>1427</v>
      </c>
      <c r="D443" s="10" t="s">
        <v>8</v>
      </c>
      <c r="E443" s="10" t="s">
        <v>8</v>
      </c>
      <c r="F443" s="12" t="s">
        <v>8</v>
      </c>
      <c r="G443" s="46">
        <v>7.49</v>
      </c>
      <c r="H443" s="47" cm="1">
        <f t="array" ref="H443">ROUND(G443*IF(OR(MID(A443,5,3)={"BFF","PRK","FPL","LMB","FFI","MET","RIC","FLR","SUG","OIL","DRK","JCE","FEG"}),1.21,IF(OR(MID(A443,5,3)={"FVG","FFR"}),1.33,IF(OR(MID(A443,5,3)={"FBT","FCH","FMK","FYG","MLK","ICE","FRV","FPO","FRF","FCC","BRD"}),1.28,IF(OR(MID(A443,5,3)={"BIS","CRP","HRB","TUR","IND","HYG"}),1.38,1.31)))),2)</f>
        <v>10.34</v>
      </c>
      <c r="I443" s="27">
        <f>(Table1[[#This Row],[SALE PRICE]]-Table1[[#This Row],[COST PRICE]])/Table1[[#This Row],[SALE PRICE]]</f>
        <v>0.27562862669245647</v>
      </c>
      <c r="J443" s="27" t="str">
        <f>IF(Table1[[#This Row],[MARGIN]]&lt;25%, "REVIEW", "OK")</f>
        <v>OK</v>
      </c>
    </row>
    <row r="444" spans="1:10" ht="15.6" x14ac:dyDescent="0.3">
      <c r="A444" s="18" t="s">
        <v>551</v>
      </c>
      <c r="B444" s="13" t="s">
        <v>552</v>
      </c>
      <c r="C444" s="13" t="s">
        <v>1427</v>
      </c>
      <c r="D444" s="11" t="s">
        <v>8</v>
      </c>
      <c r="E444" s="11" t="s">
        <v>8</v>
      </c>
      <c r="F444" s="13" t="s">
        <v>8</v>
      </c>
      <c r="G444" s="47">
        <v>15.09</v>
      </c>
      <c r="H444" s="46" cm="1">
        <f t="array" ref="H444">ROUND(G444*IF(OR(MID(A444,5,3)={"BFF","PRK","FPL","LMB","FFI","MET","RIC","FLR","SUG","OIL","DRK","JCE","FEG"}),1.21,IF(OR(MID(A444,5,3)={"FVG","FFR"}),1.33,IF(OR(MID(A444,5,3)={"FBT","FCH","FMK","FYG","MLK","ICE","FRV","FPO","FRF","FCC","BRD"}),1.28,IF(OR(MID(A444,5,3)={"BIS","CRP","HRB","TUR","IND","HYG"}),1.38,1.31)))),2)</f>
        <v>20.82</v>
      </c>
      <c r="I444" s="29">
        <f>(Table1[[#This Row],[SALE PRICE]]-Table1[[#This Row],[COST PRICE]])/Table1[[#This Row],[SALE PRICE]]</f>
        <v>0.27521613832853026</v>
      </c>
      <c r="J444" s="26" t="str">
        <f>IF(Table1[[#This Row],[MARGIN]]&lt;25%, "REVIEW", "OK")</f>
        <v>OK</v>
      </c>
    </row>
    <row r="445" spans="1:10" ht="15.6" x14ac:dyDescent="0.3">
      <c r="A445" s="17" t="s">
        <v>553</v>
      </c>
      <c r="B445" s="12" t="s">
        <v>554</v>
      </c>
      <c r="C445" s="12" t="s">
        <v>1427</v>
      </c>
      <c r="D445" s="10" t="s">
        <v>8</v>
      </c>
      <c r="E445" s="10" t="s">
        <v>8</v>
      </c>
      <c r="F445" s="12" t="s">
        <v>8</v>
      </c>
      <c r="G445" s="46">
        <v>11.49</v>
      </c>
      <c r="H445" s="47" cm="1">
        <f t="array" ref="H445">ROUND(G445*IF(OR(MID(A445,5,3)={"BFF","PRK","FPL","LMB","FFI","MET","RIC","FLR","SUG","OIL","DRK","JCE","FEG"}),1.21,IF(OR(MID(A445,5,3)={"FVG","FFR"}),1.33,IF(OR(MID(A445,5,3)={"FBT","FCH","FMK","FYG","MLK","ICE","FRV","FPO","FRF","FCC","BRD"}),1.28,IF(OR(MID(A445,5,3)={"BIS","CRP","HRB","TUR","IND","HYG"}),1.38,1.31)))),2)</f>
        <v>15.86</v>
      </c>
      <c r="I445" s="27">
        <f>(Table1[[#This Row],[SALE PRICE]]-Table1[[#This Row],[COST PRICE]])/Table1[[#This Row],[SALE PRICE]]</f>
        <v>0.27553593947036564</v>
      </c>
      <c r="J445" s="27" t="str">
        <f>IF(Table1[[#This Row],[MARGIN]]&lt;25%, "REVIEW", "OK")</f>
        <v>OK</v>
      </c>
    </row>
    <row r="446" spans="1:10" ht="15.6" x14ac:dyDescent="0.3">
      <c r="A446" s="18" t="s">
        <v>555</v>
      </c>
      <c r="B446" s="13" t="s">
        <v>556</v>
      </c>
      <c r="C446" s="13" t="s">
        <v>1429</v>
      </c>
      <c r="D446" s="11" t="s">
        <v>8</v>
      </c>
      <c r="E446" s="11" t="s">
        <v>8</v>
      </c>
      <c r="F446" s="13" t="s">
        <v>8</v>
      </c>
      <c r="G446" s="47">
        <v>6.99</v>
      </c>
      <c r="H446" s="46" cm="1">
        <f t="array" ref="H446">ROUND(G446*IF(OR(MID(A446,5,3)={"BFF","PRK","FPL","LMB","FFI","MET","RIC","FLR","SUG","OIL","DRK","JCE","FEG"}),1.21,IF(OR(MID(A446,5,3)={"FVG","FFR"}),1.33,IF(OR(MID(A446,5,3)={"FBT","FCH","FMK","FYG","MLK","ICE","FRV","FPO","FRF","FCC","BRD"}),1.28,IF(OR(MID(A446,5,3)={"BIS","CRP","HRB","TUR","IND","HYG"}),1.38,1.31)))),2)</f>
        <v>9.65</v>
      </c>
      <c r="I446" s="29">
        <f>(Table1[[#This Row],[SALE PRICE]]-Table1[[#This Row],[COST PRICE]])/Table1[[#This Row],[SALE PRICE]]</f>
        <v>0.27564766839378241</v>
      </c>
      <c r="J446" s="26" t="str">
        <f>IF(Table1[[#This Row],[MARGIN]]&lt;25%, "REVIEW", "OK")</f>
        <v>OK</v>
      </c>
    </row>
    <row r="447" spans="1:10" ht="15.6" x14ac:dyDescent="0.3">
      <c r="A447" s="17" t="s">
        <v>557</v>
      </c>
      <c r="B447" s="12" t="s">
        <v>558</v>
      </c>
      <c r="C447" s="12" t="s">
        <v>1427</v>
      </c>
      <c r="D447" s="10" t="s">
        <v>8</v>
      </c>
      <c r="E447" s="10" t="s">
        <v>8</v>
      </c>
      <c r="F447" s="12" t="s">
        <v>8</v>
      </c>
      <c r="G447" s="46">
        <v>11.55</v>
      </c>
      <c r="H447" s="47" cm="1">
        <f t="array" ref="H447">ROUND(G447*IF(OR(MID(A447,5,3)={"BFF","PRK","FPL","LMB","FFI","MET","RIC","FLR","SUG","OIL","DRK","JCE","FEG"}),1.21,IF(OR(MID(A447,5,3)={"FVG","FFR"}),1.33,IF(OR(MID(A447,5,3)={"FBT","FCH","FMK","FYG","MLK","ICE","FRV","FPO","FRF","FCC","BRD"}),1.28,IF(OR(MID(A447,5,3)={"BIS","CRP","HRB","TUR","IND","HYG"}),1.38,1.31)))),2)</f>
        <v>15.94</v>
      </c>
      <c r="I447" s="27">
        <f>(Table1[[#This Row],[SALE PRICE]]-Table1[[#This Row],[COST PRICE]])/Table1[[#This Row],[SALE PRICE]]</f>
        <v>0.27540777917189452</v>
      </c>
      <c r="J447" s="27" t="str">
        <f>IF(Table1[[#This Row],[MARGIN]]&lt;25%, "REVIEW", "OK")</f>
        <v>OK</v>
      </c>
    </row>
    <row r="448" spans="1:10" ht="15.6" x14ac:dyDescent="0.3">
      <c r="A448" s="18" t="s">
        <v>559</v>
      </c>
      <c r="B448" s="13" t="s">
        <v>560</v>
      </c>
      <c r="C448" s="13" t="s">
        <v>1427</v>
      </c>
      <c r="D448" s="11" t="s">
        <v>8</v>
      </c>
      <c r="E448" s="11" t="s">
        <v>8</v>
      </c>
      <c r="F448" s="13" t="s">
        <v>8</v>
      </c>
      <c r="G448" s="47">
        <v>1.49</v>
      </c>
      <c r="H448" s="46" cm="1">
        <f t="array" ref="H448">ROUND(G448*IF(OR(MID(A448,5,3)={"BFF","PRK","FPL","LMB","FFI","MET","RIC","FLR","SUG","OIL","DRK","JCE","FEG"}),1.21,IF(OR(MID(A448,5,3)={"FVG","FFR"}),1.33,IF(OR(MID(A448,5,3)={"FBT","FCH","FMK","FYG","MLK","ICE","FRV","FPO","FRF","FCC","BRD"}),1.28,IF(OR(MID(A448,5,3)={"BIS","CRP","HRB","TUR","IND","HYG"}),1.38,1.31)))),2)</f>
        <v>2.06</v>
      </c>
      <c r="I448" s="29">
        <f>(Table1[[#This Row],[SALE PRICE]]-Table1[[#This Row],[COST PRICE]])/Table1[[#This Row],[SALE PRICE]]</f>
        <v>0.27669902912621364</v>
      </c>
      <c r="J448" s="26" t="str">
        <f>IF(Table1[[#This Row],[MARGIN]]&lt;25%, "REVIEW", "OK")</f>
        <v>OK</v>
      </c>
    </row>
    <row r="449" spans="1:10" ht="15.6" x14ac:dyDescent="0.3">
      <c r="A449" s="17" t="s">
        <v>1450</v>
      </c>
      <c r="B449" s="12" t="s">
        <v>1469</v>
      </c>
      <c r="C449" s="12" t="s">
        <v>1429</v>
      </c>
      <c r="D449" s="10" t="s">
        <v>8</v>
      </c>
      <c r="E449" s="10"/>
      <c r="F449" s="12"/>
      <c r="G449" s="46">
        <v>4.99</v>
      </c>
      <c r="H449" s="47" cm="1">
        <f t="array" ref="H449">ROUND(G449*IF(OR(MID(A449,5,3)={"BFF","PRK","FPL","LMB","FFI","MET","RIC","FLR","SUG","OIL","DRK","JCE","FEG"}),1.21,IF(OR(MID(A449,5,3)={"FVG","FFR"}),1.33,IF(OR(MID(A449,5,3)={"FBT","FCH","FMK","FYG","MLK","ICE","FRV","FPO","FRF","FCC","BRD"}),1.28,IF(OR(MID(A449,5,3)={"BIS","CRP","HRB","TUR","IND","HYG"}),1.38,1.31)))),2)</f>
        <v>6.89</v>
      </c>
      <c r="I449" s="27">
        <f>(Table1[[#This Row],[SALE PRICE]]-Table1[[#This Row],[COST PRICE]])/Table1[[#This Row],[SALE PRICE]]</f>
        <v>0.27576197387518137</v>
      </c>
      <c r="J449" s="27" t="str">
        <f>IF(Table1[[#This Row],[MARGIN]]&lt;25%, "REVIEW", "OK")</f>
        <v>OK</v>
      </c>
    </row>
    <row r="450" spans="1:10" ht="15.6" x14ac:dyDescent="0.3">
      <c r="A450" s="18" t="s">
        <v>1451</v>
      </c>
      <c r="B450" s="13" t="s">
        <v>1470</v>
      </c>
      <c r="C450" s="13" t="s">
        <v>1429</v>
      </c>
      <c r="D450" s="11" t="s">
        <v>8</v>
      </c>
      <c r="E450" s="11"/>
      <c r="F450" s="13"/>
      <c r="G450" s="47">
        <v>9.99</v>
      </c>
      <c r="H450" s="46" cm="1">
        <f t="array" ref="H450">ROUND(G450*IF(OR(MID(A450,5,3)={"BFF","PRK","FPL","LMB","FFI","MET","RIC","FLR","SUG","OIL","DRK","JCE","FEG"}),1.21,IF(OR(MID(A450,5,3)={"FVG","FFR"}),1.33,IF(OR(MID(A450,5,3)={"FBT","FCH","FMK","FYG","MLK","ICE","FRV","FPO","FRF","FCC","BRD"}),1.28,IF(OR(MID(A450,5,3)={"BIS","CRP","HRB","TUR","IND","HYG"}),1.38,1.31)))),2)</f>
        <v>13.79</v>
      </c>
      <c r="I450" s="29">
        <f>(Table1[[#This Row],[SALE PRICE]]-Table1[[#This Row],[COST PRICE]])/Table1[[#This Row],[SALE PRICE]]</f>
        <v>0.27556200145032628</v>
      </c>
      <c r="J450" s="26" t="str">
        <f>IF(Table1[[#This Row],[MARGIN]]&lt;25%, "REVIEW", "OK")</f>
        <v>OK</v>
      </c>
    </row>
    <row r="451" spans="1:10" ht="15.6" x14ac:dyDescent="0.3">
      <c r="A451" s="17" t="s">
        <v>1452</v>
      </c>
      <c r="B451" s="12" t="s">
        <v>1471</v>
      </c>
      <c r="C451" s="12" t="s">
        <v>1429</v>
      </c>
      <c r="D451" s="10" t="s">
        <v>8</v>
      </c>
      <c r="E451" s="10"/>
      <c r="F451" s="12"/>
      <c r="G451" s="46">
        <v>4.99</v>
      </c>
      <c r="H451" s="47" cm="1">
        <f t="array" ref="H451">ROUND(G451*IF(OR(MID(A451,5,3)={"BFF","PRK","FPL","LMB","FFI","MET","RIC","FLR","SUG","OIL","DRK","JCE","FEG"}),1.21,IF(OR(MID(A451,5,3)={"FVG","FFR"}),1.33,IF(OR(MID(A451,5,3)={"FBT","FCH","FMK","FYG","MLK","ICE","FRV","FPO","FRF","FCC","BRD"}),1.28,IF(OR(MID(A451,5,3)={"BIS","CRP","HRB","TUR","IND","HYG"}),1.38,1.31)))),2)</f>
        <v>6.89</v>
      </c>
      <c r="I451" s="27">
        <f>(Table1[[#This Row],[SALE PRICE]]-Table1[[#This Row],[COST PRICE]])/Table1[[#This Row],[SALE PRICE]]</f>
        <v>0.27576197387518137</v>
      </c>
      <c r="J451" s="27" t="str">
        <f>IF(Table1[[#This Row],[MARGIN]]&lt;25%, "REVIEW", "OK")</f>
        <v>OK</v>
      </c>
    </row>
    <row r="452" spans="1:10" ht="15.6" x14ac:dyDescent="0.3">
      <c r="A452" s="18" t="s">
        <v>1453</v>
      </c>
      <c r="B452" s="13" t="s">
        <v>1472</v>
      </c>
      <c r="C452" s="13" t="s">
        <v>1429</v>
      </c>
      <c r="D452" s="11" t="s">
        <v>8</v>
      </c>
      <c r="E452" s="11"/>
      <c r="F452" s="13"/>
      <c r="G452" s="47">
        <v>3.99</v>
      </c>
      <c r="H452" s="46" cm="1">
        <f t="array" ref="H452">ROUND(G452*IF(OR(MID(A452,5,3)={"BFF","PRK","FPL","LMB","FFI","MET","RIC","FLR","SUG","OIL","DRK","JCE","FEG"}),1.21,IF(OR(MID(A452,5,3)={"FVG","FFR"}),1.33,IF(OR(MID(A452,5,3)={"FBT","FCH","FMK","FYG","MLK","ICE","FRV","FPO","FRF","FCC","BRD"}),1.28,IF(OR(MID(A452,5,3)={"BIS","CRP","HRB","TUR","IND","HYG"}),1.38,1.31)))),2)</f>
        <v>5.51</v>
      </c>
      <c r="I452" s="29">
        <f>(Table1[[#This Row],[SALE PRICE]]-Table1[[#This Row],[COST PRICE]])/Table1[[#This Row],[SALE PRICE]]</f>
        <v>0.27586206896551718</v>
      </c>
      <c r="J452" s="26" t="str">
        <f>IF(Table1[[#This Row],[MARGIN]]&lt;25%, "REVIEW", "OK")</f>
        <v>OK</v>
      </c>
    </row>
    <row r="453" spans="1:10" ht="15.6" x14ac:dyDescent="0.3">
      <c r="A453" s="17" t="s">
        <v>1454</v>
      </c>
      <c r="B453" s="12" t="s">
        <v>1473</v>
      </c>
      <c r="C453" s="12" t="s">
        <v>1429</v>
      </c>
      <c r="D453" s="10" t="s">
        <v>8</v>
      </c>
      <c r="E453" s="10"/>
      <c r="F453" s="12"/>
      <c r="G453" s="46">
        <v>11.99</v>
      </c>
      <c r="H453" s="47" cm="1">
        <f t="array" ref="H453">ROUND(G453*IF(OR(MID(A453,5,3)={"BFF","PRK","FPL","LMB","FFI","MET","RIC","FLR","SUG","OIL","DRK","JCE","FEG"}),1.21,IF(OR(MID(A453,5,3)={"FVG","FFR"}),1.33,IF(OR(MID(A453,5,3)={"FBT","FCH","FMK","FYG","MLK","ICE","FRV","FPO","FRF","FCC","BRD"}),1.28,IF(OR(MID(A453,5,3)={"BIS","CRP","HRB","TUR","IND","HYG"}),1.38,1.31)))),2)</f>
        <v>16.55</v>
      </c>
      <c r="I453" s="27">
        <f>(Table1[[#This Row],[SALE PRICE]]-Table1[[#This Row],[COST PRICE]])/Table1[[#This Row],[SALE PRICE]]</f>
        <v>0.2755287009063444</v>
      </c>
      <c r="J453" s="27" t="str">
        <f>IF(Table1[[#This Row],[MARGIN]]&lt;25%, "REVIEW", "OK")</f>
        <v>OK</v>
      </c>
    </row>
    <row r="454" spans="1:10" ht="15.6" x14ac:dyDescent="0.3">
      <c r="A454" s="18" t="s">
        <v>1455</v>
      </c>
      <c r="B454" s="13" t="s">
        <v>1474</v>
      </c>
      <c r="C454" s="13" t="s">
        <v>1429</v>
      </c>
      <c r="D454" s="11" t="s">
        <v>8</v>
      </c>
      <c r="E454" s="11"/>
      <c r="F454" s="13"/>
      <c r="G454" s="47">
        <v>8.99</v>
      </c>
      <c r="H454" s="46" cm="1">
        <f t="array" ref="H454">ROUND(G454*IF(OR(MID(A454,5,3)={"BFF","PRK","FPL","LMB","FFI","MET","RIC","FLR","SUG","OIL","DRK","JCE","FEG"}),1.21,IF(OR(MID(A454,5,3)={"FVG","FFR"}),1.33,IF(OR(MID(A454,5,3)={"FBT","FCH","FMK","FYG","MLK","ICE","FRV","FPO","FRF","FCC","BRD"}),1.28,IF(OR(MID(A454,5,3)={"BIS","CRP","HRB","TUR","IND","HYG"}),1.38,1.31)))),2)</f>
        <v>12.41</v>
      </c>
      <c r="I454" s="29">
        <f>(Table1[[#This Row],[SALE PRICE]]-Table1[[#This Row],[COST PRICE]])/Table1[[#This Row],[SALE PRICE]]</f>
        <v>0.27558420628525382</v>
      </c>
      <c r="J454" s="26" t="str">
        <f>IF(Table1[[#This Row],[MARGIN]]&lt;25%, "REVIEW", "OK")</f>
        <v>OK</v>
      </c>
    </row>
    <row r="455" spans="1:10" ht="15.6" x14ac:dyDescent="0.3">
      <c r="A455" s="17" t="s">
        <v>1456</v>
      </c>
      <c r="B455" s="12" t="s">
        <v>1475</v>
      </c>
      <c r="C455" s="12" t="s">
        <v>1429</v>
      </c>
      <c r="D455" s="10" t="s">
        <v>8</v>
      </c>
      <c r="E455" s="10"/>
      <c r="F455" s="12"/>
      <c r="G455" s="46">
        <v>2.99</v>
      </c>
      <c r="H455" s="47" cm="1">
        <f t="array" ref="H455">ROUND(G455*IF(OR(MID(A455,5,3)={"BFF","PRK","FPL","LMB","FFI","MET","RIC","FLR","SUG","OIL","DRK","JCE","FEG"}),1.21,IF(OR(MID(A455,5,3)={"FVG","FFR"}),1.33,IF(OR(MID(A455,5,3)={"FBT","FCH","FMK","FYG","MLK","ICE","FRV","FPO","FRF","FCC","BRD"}),1.28,IF(OR(MID(A455,5,3)={"BIS","CRP","HRB","TUR","IND","HYG"}),1.38,1.31)))),2)</f>
        <v>4.13</v>
      </c>
      <c r="I455" s="27">
        <f>(Table1[[#This Row],[SALE PRICE]]-Table1[[#This Row],[COST PRICE]])/Table1[[#This Row],[SALE PRICE]]</f>
        <v>0.27602905569007258</v>
      </c>
      <c r="J455" s="27" t="str">
        <f>IF(Table1[[#This Row],[MARGIN]]&lt;25%, "REVIEW", "OK")</f>
        <v>OK</v>
      </c>
    </row>
    <row r="456" spans="1:10" ht="15.6" x14ac:dyDescent="0.3">
      <c r="A456" s="18" t="s">
        <v>1457</v>
      </c>
      <c r="B456" s="13" t="s">
        <v>1476</v>
      </c>
      <c r="C456" s="13" t="s">
        <v>1429</v>
      </c>
      <c r="D456" s="11" t="s">
        <v>8</v>
      </c>
      <c r="E456" s="11"/>
      <c r="F456" s="13"/>
      <c r="G456" s="47">
        <v>8.99</v>
      </c>
      <c r="H456" s="46" cm="1">
        <f t="array" ref="H456">ROUND(G456*IF(OR(MID(A456,5,3)={"BFF","PRK","FPL","LMB","FFI","MET","RIC","FLR","SUG","OIL","DRK","JCE","FEG"}),1.21,IF(OR(MID(A456,5,3)={"FVG","FFR"}),1.33,IF(OR(MID(A456,5,3)={"FBT","FCH","FMK","FYG","MLK","ICE","FRV","FPO","FRF","FCC","BRD"}),1.28,IF(OR(MID(A456,5,3)={"BIS","CRP","HRB","TUR","IND","HYG"}),1.38,1.31)))),2)</f>
        <v>12.41</v>
      </c>
      <c r="I456" s="29">
        <f>(Table1[[#This Row],[SALE PRICE]]-Table1[[#This Row],[COST PRICE]])/Table1[[#This Row],[SALE PRICE]]</f>
        <v>0.27558420628525382</v>
      </c>
      <c r="J456" s="26" t="str">
        <f>IF(Table1[[#This Row],[MARGIN]]&lt;25%, "REVIEW", "OK")</f>
        <v>OK</v>
      </c>
    </row>
    <row r="457" spans="1:10" ht="15.6" x14ac:dyDescent="0.3">
      <c r="A457" s="17" t="s">
        <v>1458</v>
      </c>
      <c r="B457" s="12" t="s">
        <v>1477</v>
      </c>
      <c r="C457" s="12" t="s">
        <v>1429</v>
      </c>
      <c r="D457" s="10" t="s">
        <v>8</v>
      </c>
      <c r="E457" s="10"/>
      <c r="F457" s="12"/>
      <c r="G457" s="46">
        <v>6.49</v>
      </c>
      <c r="H457" s="47" cm="1">
        <f t="array" ref="H457">ROUND(G457*IF(OR(MID(A457,5,3)={"BFF","PRK","FPL","LMB","FFI","MET","RIC","FLR","SUG","OIL","DRK","JCE","FEG"}),1.21,IF(OR(MID(A457,5,3)={"FVG","FFR"}),1.33,IF(OR(MID(A457,5,3)={"FBT","FCH","FMK","FYG","MLK","ICE","FRV","FPO","FRF","FCC","BRD"}),1.28,IF(OR(MID(A457,5,3)={"BIS","CRP","HRB","TUR","IND","HYG"}),1.38,1.31)))),2)</f>
        <v>8.9600000000000009</v>
      </c>
      <c r="I457" s="27">
        <f>(Table1[[#This Row],[SALE PRICE]]-Table1[[#This Row],[COST PRICE]])/Table1[[#This Row],[SALE PRICE]]</f>
        <v>0.2756696428571429</v>
      </c>
      <c r="J457" s="27" t="str">
        <f>IF(Table1[[#This Row],[MARGIN]]&lt;25%, "REVIEW", "OK")</f>
        <v>OK</v>
      </c>
    </row>
    <row r="458" spans="1:10" ht="15.6" x14ac:dyDescent="0.3">
      <c r="A458" s="18" t="s">
        <v>1459</v>
      </c>
      <c r="B458" s="13" t="s">
        <v>1478</v>
      </c>
      <c r="C458" s="13" t="s">
        <v>1429</v>
      </c>
      <c r="D458" s="11" t="s">
        <v>8</v>
      </c>
      <c r="E458" s="11"/>
      <c r="F458" s="13"/>
      <c r="G458" s="47">
        <v>2.4900000000000002</v>
      </c>
      <c r="H458" s="46" cm="1">
        <f t="array" ref="H458">ROUND(G458*IF(OR(MID(A458,5,3)={"BFF","PRK","FPL","LMB","FFI","MET","RIC","FLR","SUG","OIL","DRK","JCE","FEG"}),1.21,IF(OR(MID(A458,5,3)={"FVG","FFR"}),1.33,IF(OR(MID(A458,5,3)={"FBT","FCH","FMK","FYG","MLK","ICE","FRV","FPO","FRF","FCC","BRD"}),1.28,IF(OR(MID(A458,5,3)={"BIS","CRP","HRB","TUR","IND","HYG"}),1.38,1.31)))),2)</f>
        <v>3.44</v>
      </c>
      <c r="I458" s="29">
        <f>(Table1[[#This Row],[SALE PRICE]]-Table1[[#This Row],[COST PRICE]])/Table1[[#This Row],[SALE PRICE]]</f>
        <v>0.27616279069767435</v>
      </c>
      <c r="J458" s="26" t="str">
        <f>IF(Table1[[#This Row],[MARGIN]]&lt;25%, "REVIEW", "OK")</f>
        <v>OK</v>
      </c>
    </row>
    <row r="459" spans="1:10" ht="15.6" x14ac:dyDescent="0.3">
      <c r="A459" s="17" t="s">
        <v>1460</v>
      </c>
      <c r="B459" s="12" t="s">
        <v>1479</v>
      </c>
      <c r="C459" s="12" t="s">
        <v>1429</v>
      </c>
      <c r="D459" s="10" t="s">
        <v>8</v>
      </c>
      <c r="E459" s="10"/>
      <c r="F459" s="12"/>
      <c r="G459" s="46">
        <v>1.99</v>
      </c>
      <c r="H459" s="47" cm="1">
        <f t="array" ref="H459">ROUND(G459*IF(OR(MID(A459,5,3)={"BFF","PRK","FPL","LMB","FFI","MET","RIC","FLR","SUG","OIL","DRK","JCE","FEG"}),1.21,IF(OR(MID(A459,5,3)={"FVG","FFR"}),1.33,IF(OR(MID(A459,5,3)={"FBT","FCH","FMK","FYG","MLK","ICE","FRV","FPO","FRF","FCC","BRD"}),1.28,IF(OR(MID(A459,5,3)={"BIS","CRP","HRB","TUR","IND","HYG"}),1.38,1.31)))),2)</f>
        <v>2.75</v>
      </c>
      <c r="I459" s="27">
        <f>(Table1[[#This Row],[SALE PRICE]]-Table1[[#This Row],[COST PRICE]])/Table1[[#This Row],[SALE PRICE]]</f>
        <v>0.27636363636363637</v>
      </c>
      <c r="J459" s="27" t="str">
        <f>IF(Table1[[#This Row],[MARGIN]]&lt;25%, "REVIEW", "OK")</f>
        <v>OK</v>
      </c>
    </row>
    <row r="460" spans="1:10" ht="15.6" x14ac:dyDescent="0.3">
      <c r="A460" s="18" t="s">
        <v>1461</v>
      </c>
      <c r="B460" s="13" t="s">
        <v>1480</v>
      </c>
      <c r="C460" s="13" t="s">
        <v>1429</v>
      </c>
      <c r="D460" s="11" t="s">
        <v>8</v>
      </c>
      <c r="E460" s="11"/>
      <c r="F460" s="13"/>
      <c r="G460" s="47">
        <v>2</v>
      </c>
      <c r="H460" s="46" cm="1">
        <f t="array" ref="H460">ROUND(G460*IF(OR(MID(A460,5,3)={"BFF","PRK","FPL","LMB","FFI","MET","RIC","FLR","SUG","OIL","DRK","JCE","FEG"}),1.21,IF(OR(MID(A460,5,3)={"FVG","FFR"}),1.33,IF(OR(MID(A460,5,3)={"FBT","FCH","FMK","FYG","MLK","ICE","FRV","FPO","FRF","FCC","BRD"}),1.28,IF(OR(MID(A460,5,3)={"BIS","CRP","HRB","TUR","IND","HYG"}),1.38,1.31)))),2)</f>
        <v>2.76</v>
      </c>
      <c r="I460" s="29">
        <f>(Table1[[#This Row],[SALE PRICE]]-Table1[[#This Row],[COST PRICE]])/Table1[[#This Row],[SALE PRICE]]</f>
        <v>0.27536231884057966</v>
      </c>
      <c r="J460" s="26" t="str">
        <f>IF(Table1[[#This Row],[MARGIN]]&lt;25%, "REVIEW", "OK")</f>
        <v>OK</v>
      </c>
    </row>
    <row r="461" spans="1:10" ht="15.6" x14ac:dyDescent="0.3">
      <c r="A461" s="17" t="s">
        <v>1462</v>
      </c>
      <c r="B461" s="12" t="s">
        <v>1481</v>
      </c>
      <c r="C461" s="12" t="s">
        <v>1429</v>
      </c>
      <c r="D461" s="10" t="s">
        <v>8</v>
      </c>
      <c r="E461" s="10"/>
      <c r="F461" s="12"/>
      <c r="G461" s="46">
        <v>3.99</v>
      </c>
      <c r="H461" s="47" cm="1">
        <f t="array" ref="H461">ROUND(G461*IF(OR(MID(A461,5,3)={"BFF","PRK","FPL","LMB","FFI","MET","RIC","FLR","SUG","OIL","DRK","JCE","FEG"}),1.21,IF(OR(MID(A461,5,3)={"FVG","FFR"}),1.33,IF(OR(MID(A461,5,3)={"FBT","FCH","FMK","FYG","MLK","ICE","FRV","FPO","FRF","FCC","BRD"}),1.28,IF(OR(MID(A461,5,3)={"BIS","CRP","HRB","TUR","IND","HYG"}),1.38,1.31)))),2)</f>
        <v>5.51</v>
      </c>
      <c r="I461" s="27">
        <f>(Table1[[#This Row],[SALE PRICE]]-Table1[[#This Row],[COST PRICE]])/Table1[[#This Row],[SALE PRICE]]</f>
        <v>0.27586206896551718</v>
      </c>
      <c r="J461" s="27" t="str">
        <f>IF(Table1[[#This Row],[MARGIN]]&lt;25%, "REVIEW", "OK")</f>
        <v>OK</v>
      </c>
    </row>
    <row r="462" spans="1:10" ht="15.6" x14ac:dyDescent="0.3">
      <c r="A462" s="18" t="s">
        <v>1463</v>
      </c>
      <c r="B462" s="13" t="s">
        <v>1482</v>
      </c>
      <c r="C462" s="13" t="s">
        <v>1429</v>
      </c>
      <c r="D462" s="11" t="s">
        <v>8</v>
      </c>
      <c r="E462" s="11"/>
      <c r="F462" s="13"/>
      <c r="G462" s="47">
        <v>7.79</v>
      </c>
      <c r="H462" s="46" cm="1">
        <f t="array" ref="H462">ROUND(G462*IF(OR(MID(A462,5,3)={"BFF","PRK","FPL","LMB","FFI","MET","RIC","FLR","SUG","OIL","DRK","JCE","FEG"}),1.21,IF(OR(MID(A462,5,3)={"FVG","FFR"}),1.33,IF(OR(MID(A462,5,3)={"FBT","FCH","FMK","FYG","MLK","ICE","FRV","FPO","FRF","FCC","BRD"}),1.28,IF(OR(MID(A462,5,3)={"BIS","CRP","HRB","TUR","IND","HYG"}),1.38,1.31)))),2)</f>
        <v>10.75</v>
      </c>
      <c r="I462" s="29">
        <f>(Table1[[#This Row],[SALE PRICE]]-Table1[[#This Row],[COST PRICE]])/Table1[[#This Row],[SALE PRICE]]</f>
        <v>0.27534883720930231</v>
      </c>
      <c r="J462" s="26" t="str">
        <f>IF(Table1[[#This Row],[MARGIN]]&lt;25%, "REVIEW", "OK")</f>
        <v>OK</v>
      </c>
    </row>
    <row r="463" spans="1:10" ht="15.6" x14ac:dyDescent="0.3">
      <c r="A463" s="17" t="s">
        <v>1464</v>
      </c>
      <c r="B463" s="12" t="s">
        <v>1483</v>
      </c>
      <c r="C463" s="12" t="s">
        <v>1429</v>
      </c>
      <c r="D463" s="10" t="s">
        <v>8</v>
      </c>
      <c r="E463" s="10"/>
      <c r="F463" s="12"/>
      <c r="G463" s="46">
        <v>6.99</v>
      </c>
      <c r="H463" s="47" cm="1">
        <f t="array" ref="H463">ROUND(G463*IF(OR(MID(A463,5,3)={"BFF","PRK","FPL","LMB","FFI","MET","RIC","FLR","SUG","OIL","DRK","JCE","FEG"}),1.21,IF(OR(MID(A463,5,3)={"FVG","FFR"}),1.33,IF(OR(MID(A463,5,3)={"FBT","FCH","FMK","FYG","MLK","ICE","FRV","FPO","FRF","FCC","BRD"}),1.28,IF(OR(MID(A463,5,3)={"BIS","CRP","HRB","TUR","IND","HYG"}),1.38,1.31)))),2)</f>
        <v>9.65</v>
      </c>
      <c r="I463" s="27">
        <f>(Table1[[#This Row],[SALE PRICE]]-Table1[[#This Row],[COST PRICE]])/Table1[[#This Row],[SALE PRICE]]</f>
        <v>0.27564766839378241</v>
      </c>
      <c r="J463" s="27" t="str">
        <f>IF(Table1[[#This Row],[MARGIN]]&lt;25%, "REVIEW", "OK")</f>
        <v>OK</v>
      </c>
    </row>
    <row r="464" spans="1:10" ht="15.6" x14ac:dyDescent="0.3">
      <c r="A464" s="18" t="s">
        <v>1465</v>
      </c>
      <c r="B464" s="13" t="s">
        <v>1484</v>
      </c>
      <c r="C464" s="13" t="s">
        <v>1429</v>
      </c>
      <c r="D464" s="11" t="s">
        <v>8</v>
      </c>
      <c r="E464" s="11"/>
      <c r="F464" s="13"/>
      <c r="G464" s="47">
        <v>8.39</v>
      </c>
      <c r="H464" s="46" cm="1">
        <f t="array" ref="H464">ROUND(G464*IF(OR(MID(A464,5,3)={"BFF","PRK","FPL","LMB","FFI","MET","RIC","FLR","SUG","OIL","DRK","JCE","FEG"}),1.21,IF(OR(MID(A464,5,3)={"FVG","FFR"}),1.33,IF(OR(MID(A464,5,3)={"FBT","FCH","FMK","FYG","MLK","ICE","FRV","FPO","FRF","FCC","BRD"}),1.28,IF(OR(MID(A464,5,3)={"BIS","CRP","HRB","TUR","IND","HYG"}),1.38,1.31)))),2)</f>
        <v>11.58</v>
      </c>
      <c r="I464" s="29">
        <f>(Table1[[#This Row],[SALE PRICE]]-Table1[[#This Row],[COST PRICE]])/Table1[[#This Row],[SALE PRICE]]</f>
        <v>0.27547495682210704</v>
      </c>
      <c r="J464" s="26" t="str">
        <f>IF(Table1[[#This Row],[MARGIN]]&lt;25%, "REVIEW", "OK")</f>
        <v>OK</v>
      </c>
    </row>
    <row r="465" spans="1:10" ht="15.6" x14ac:dyDescent="0.3">
      <c r="A465" s="17" t="s">
        <v>1466</v>
      </c>
      <c r="B465" s="12" t="s">
        <v>1485</v>
      </c>
      <c r="C465" s="12" t="s">
        <v>1429</v>
      </c>
      <c r="D465" s="10" t="s">
        <v>8</v>
      </c>
      <c r="E465" s="10"/>
      <c r="F465" s="12"/>
      <c r="G465" s="46">
        <v>1.49</v>
      </c>
      <c r="H465" s="47" cm="1">
        <f t="array" ref="H465">ROUND(G465*IF(OR(MID(A465,5,3)={"BFF","PRK","FPL","LMB","FFI","MET","RIC","FLR","SUG","OIL","DRK","JCE","FEG"}),1.21,IF(OR(MID(A465,5,3)={"FVG","FFR"}),1.33,IF(OR(MID(A465,5,3)={"FBT","FCH","FMK","FYG","MLK","ICE","FRV","FPO","FRF","FCC","BRD"}),1.28,IF(OR(MID(A465,5,3)={"BIS","CRP","HRB","TUR","IND","HYG"}),1.38,1.31)))),2)</f>
        <v>2.06</v>
      </c>
      <c r="I465" s="27">
        <f>(Table1[[#This Row],[SALE PRICE]]-Table1[[#This Row],[COST PRICE]])/Table1[[#This Row],[SALE PRICE]]</f>
        <v>0.27669902912621364</v>
      </c>
      <c r="J465" s="27" t="str">
        <f>IF(Table1[[#This Row],[MARGIN]]&lt;25%, "REVIEW", "OK")</f>
        <v>OK</v>
      </c>
    </row>
    <row r="466" spans="1:10" ht="15.6" x14ac:dyDescent="0.3">
      <c r="A466" s="18" t="s">
        <v>1467</v>
      </c>
      <c r="B466" s="13" t="s">
        <v>1486</v>
      </c>
      <c r="C466" s="13" t="s">
        <v>1429</v>
      </c>
      <c r="D466" s="11" t="s">
        <v>8</v>
      </c>
      <c r="E466" s="11"/>
      <c r="F466" s="13"/>
      <c r="G466" s="47">
        <v>3.99</v>
      </c>
      <c r="H466" s="46" cm="1">
        <f t="array" ref="H466">ROUND(G466*IF(OR(MID(A466,5,3)={"BFF","PRK","FPL","LMB","FFI","MET","RIC","FLR","SUG","OIL","DRK","JCE","FEG"}),1.21,IF(OR(MID(A466,5,3)={"FVG","FFR"}),1.33,IF(OR(MID(A466,5,3)={"FBT","FCH","FMK","FYG","MLK","ICE","FRV","FPO","FRF","FCC","BRD"}),1.28,IF(OR(MID(A466,5,3)={"BIS","CRP","HRB","TUR","IND","HYG"}),1.38,1.31)))),2)</f>
        <v>5.51</v>
      </c>
      <c r="I466" s="29">
        <f>(Table1[[#This Row],[SALE PRICE]]-Table1[[#This Row],[COST PRICE]])/Table1[[#This Row],[SALE PRICE]]</f>
        <v>0.27586206896551718</v>
      </c>
      <c r="J466" s="26" t="str">
        <f>IF(Table1[[#This Row],[MARGIN]]&lt;25%, "REVIEW", "OK")</f>
        <v>OK</v>
      </c>
    </row>
    <row r="467" spans="1:10" ht="15.6" x14ac:dyDescent="0.3">
      <c r="A467" s="17" t="s">
        <v>1468</v>
      </c>
      <c r="B467" s="12" t="s">
        <v>1487</v>
      </c>
      <c r="C467" s="12" t="s">
        <v>1429</v>
      </c>
      <c r="D467" s="10"/>
      <c r="E467" s="10"/>
      <c r="F467" s="12"/>
      <c r="G467" s="46">
        <v>2.99</v>
      </c>
      <c r="H467" s="47" cm="1">
        <f t="array" ref="H467">ROUND(G467*IF(OR(MID(A467,5,3)={"BFF","PRK","FPL","LMB","FFI","MET","RIC","FLR","SUG","OIL","DRK","JCE","FEG"}),1.21,IF(OR(MID(A467,5,3)={"FVG","FFR"}),1.33,IF(OR(MID(A467,5,3)={"FBT","FCH","FMK","FYG","MLK","ICE","FRV","FPO","FRF","FCC","BRD"}),1.28,IF(OR(MID(A467,5,3)={"BIS","CRP","HRB","TUR","IND","HYG"}),1.38,1.31)))),2)</f>
        <v>4.13</v>
      </c>
      <c r="I467" s="27">
        <f>(Table1[[#This Row],[SALE PRICE]]-Table1[[#This Row],[COST PRICE]])/Table1[[#This Row],[SALE PRICE]]</f>
        <v>0.27602905569007258</v>
      </c>
      <c r="J467" s="27" t="str">
        <f>IF(Table1[[#This Row],[MARGIN]]&lt;25%, "REVIEW", "OK")</f>
        <v>OK</v>
      </c>
    </row>
    <row r="468" spans="1:10" s="1" customFormat="1" ht="15.6" x14ac:dyDescent="0.3">
      <c r="A468" s="16" t="s">
        <v>561</v>
      </c>
      <c r="B468" s="2" t="s">
        <v>8</v>
      </c>
      <c r="C468" s="2"/>
      <c r="D468" s="2" t="s">
        <v>8</v>
      </c>
      <c r="E468" s="2" t="s">
        <v>8</v>
      </c>
      <c r="F468" s="2" t="s">
        <v>8</v>
      </c>
      <c r="G468" s="48" t="s">
        <v>8</v>
      </c>
      <c r="H468" s="48" t="e" cm="1">
        <f t="array" ref="H468">ROUND(G468*IF(OR(MID(A468,5,3)={"BFF","PRK","FPL","LMB","FFI","MET","RIC","FLR","SUG","OIL","DRK","JCE","FEG"}),1.21,IF(OR(MID(A468,5,3)={"FVG","FFR"}),1.33,IF(OR(MID(A468,5,3)={"FBT","FCH","FMK","FYG","MLK","ICE","FRV","FPO","FRF","FCC","BRD"}),1.28,IF(OR(MID(A468,5,3)={"BIS","CRP","HRB","TUR","IND","HYG"}),1.38,1.31)))),2)</f>
        <v>#VALUE!</v>
      </c>
      <c r="I468" s="19"/>
      <c r="J468" s="19"/>
    </row>
    <row r="469" spans="1:10" ht="15.6" x14ac:dyDescent="0.3">
      <c r="A469" s="17" t="s">
        <v>562</v>
      </c>
      <c r="B469" s="12" t="s">
        <v>563</v>
      </c>
      <c r="C469" s="12" t="s">
        <v>1427</v>
      </c>
      <c r="D469" s="10" t="s">
        <v>8</v>
      </c>
      <c r="E469" s="10" t="s">
        <v>8</v>
      </c>
      <c r="F469" s="12" t="s">
        <v>8</v>
      </c>
      <c r="G469" s="46">
        <v>19.5</v>
      </c>
      <c r="H469" s="47" cm="1">
        <f t="array" ref="H469">ROUND(G469*IF(OR(MID(A469,5,3)={"BFF","PRK","FPL","LMB","FFI","MET","RIC","FLR","SUG","OIL","DRK","JCE","FEG"}),1.21,IF(OR(MID(A469,5,3)={"FVG","FFR"}),1.33,IF(OR(MID(A469,5,3)={"FBT","FCH","FMK","FYG","MLK","ICE","FRV","FPO","FRF","FCC","BRD"}),1.28,IF(OR(MID(A469,5,3)={"BIS","CRP","HRB","TUR","IND","HYG"}),1.38,1.31)))),2)</f>
        <v>26.91</v>
      </c>
      <c r="I469" s="27">
        <f>(Table1[[#This Row],[SALE PRICE]]-Table1[[#This Row],[COST PRICE]])/Table1[[#This Row],[SALE PRICE]]</f>
        <v>0.27536231884057971</v>
      </c>
      <c r="J469" s="27" t="str">
        <f>IF(Table1[[#This Row],[MARGIN]]&lt;25%, "REVIEW", "OK")</f>
        <v>OK</v>
      </c>
    </row>
    <row r="470" spans="1:10" ht="15.6" x14ac:dyDescent="0.3">
      <c r="A470" s="18" t="s">
        <v>564</v>
      </c>
      <c r="B470" s="13" t="s">
        <v>565</v>
      </c>
      <c r="C470" s="13" t="s">
        <v>1427</v>
      </c>
      <c r="D470" s="11" t="s">
        <v>8</v>
      </c>
      <c r="E470" s="11" t="s">
        <v>8</v>
      </c>
      <c r="F470" s="13" t="s">
        <v>8</v>
      </c>
      <c r="G470" s="47">
        <v>25.74</v>
      </c>
      <c r="H470" s="46" cm="1">
        <f t="array" ref="H470">ROUND(G470*IF(OR(MID(A470,5,3)={"BFF","PRK","FPL","LMB","FFI","MET","RIC","FLR","SUG","OIL","DRK","JCE","FEG"}),1.21,IF(OR(MID(A470,5,3)={"FVG","FFR"}),1.33,IF(OR(MID(A470,5,3)={"FBT","FCH","FMK","FYG","MLK","ICE","FRV","FPO","FRF","FCC","BRD"}),1.28,IF(OR(MID(A470,5,3)={"BIS","CRP","HRB","TUR","IND","HYG"}),1.38,1.31)))),2)</f>
        <v>35.520000000000003</v>
      </c>
      <c r="I470" s="29">
        <f>(Table1[[#This Row],[SALE PRICE]]-Table1[[#This Row],[COST PRICE]])/Table1[[#This Row],[SALE PRICE]]</f>
        <v>0.27533783783783794</v>
      </c>
      <c r="J470" s="26" t="str">
        <f>IF(Table1[[#This Row],[MARGIN]]&lt;25%, "REVIEW", "OK")</f>
        <v>OK</v>
      </c>
    </row>
    <row r="471" spans="1:10" ht="15.6" x14ac:dyDescent="0.3">
      <c r="A471" s="17" t="s">
        <v>566</v>
      </c>
      <c r="B471" s="12" t="s">
        <v>567</v>
      </c>
      <c r="C471" s="12" t="s">
        <v>1427</v>
      </c>
      <c r="D471" s="10" t="s">
        <v>8</v>
      </c>
      <c r="E471" s="10" t="s">
        <v>8</v>
      </c>
      <c r="F471" s="12" t="s">
        <v>8</v>
      </c>
      <c r="G471" s="46">
        <v>37.79</v>
      </c>
      <c r="H471" s="47" cm="1">
        <f t="array" ref="H471">ROUND(G471*IF(OR(MID(A471,5,3)={"BFF","PRK","FPL","LMB","FFI","MET","RIC","FLR","SUG","OIL","DRK","JCE","FEG"}),1.21,IF(OR(MID(A471,5,3)={"FVG","FFR"}),1.33,IF(OR(MID(A471,5,3)={"FBT","FCH","FMK","FYG","MLK","ICE","FRV","FPO","FRF","FCC","BRD"}),1.28,IF(OR(MID(A471,5,3)={"BIS","CRP","HRB","TUR","IND","HYG"}),1.38,1.31)))),2)</f>
        <v>52.15</v>
      </c>
      <c r="I471" s="27">
        <f>(Table1[[#This Row],[SALE PRICE]]-Table1[[#This Row],[COST PRICE]])/Table1[[#This Row],[SALE PRICE]]</f>
        <v>0.27535953978906996</v>
      </c>
      <c r="J471" s="27" t="str">
        <f>IF(Table1[[#This Row],[MARGIN]]&lt;25%, "REVIEW", "OK")</f>
        <v>OK</v>
      </c>
    </row>
    <row r="472" spans="1:10" ht="15.6" x14ac:dyDescent="0.3">
      <c r="A472" s="18" t="s">
        <v>568</v>
      </c>
      <c r="B472" s="13" t="s">
        <v>569</v>
      </c>
      <c r="C472" s="13" t="s">
        <v>1427</v>
      </c>
      <c r="D472" s="11" t="s">
        <v>8</v>
      </c>
      <c r="E472" s="11" t="s">
        <v>8</v>
      </c>
      <c r="F472" s="13" t="s">
        <v>8</v>
      </c>
      <c r="G472" s="47">
        <v>25.5</v>
      </c>
      <c r="H472" s="46" cm="1">
        <f t="array" ref="H472">ROUND(G472*IF(OR(MID(A472,5,3)={"BFF","PRK","FPL","LMB","FFI","MET","RIC","FLR","SUG","OIL","DRK","JCE","FEG"}),1.21,IF(OR(MID(A472,5,3)={"FVG","FFR"}),1.33,IF(OR(MID(A472,5,3)={"FBT","FCH","FMK","FYG","MLK","ICE","FRV","FPO","FRF","FCC","BRD"}),1.28,IF(OR(MID(A472,5,3)={"BIS","CRP","HRB","TUR","IND","HYG"}),1.38,1.31)))),2)</f>
        <v>35.19</v>
      </c>
      <c r="I472" s="29">
        <f>(Table1[[#This Row],[SALE PRICE]]-Table1[[#This Row],[COST PRICE]])/Table1[[#This Row],[SALE PRICE]]</f>
        <v>0.27536231884057966</v>
      </c>
      <c r="J472" s="26" t="str">
        <f>IF(Table1[[#This Row],[MARGIN]]&lt;25%, "REVIEW", "OK")</f>
        <v>OK</v>
      </c>
    </row>
    <row r="473" spans="1:10" ht="15.6" x14ac:dyDescent="0.3">
      <c r="A473" s="17" t="s">
        <v>570</v>
      </c>
      <c r="B473" s="12" t="s">
        <v>571</v>
      </c>
      <c r="C473" s="12" t="s">
        <v>1427</v>
      </c>
      <c r="D473" s="10" t="s">
        <v>8</v>
      </c>
      <c r="E473" s="10" t="s">
        <v>8</v>
      </c>
      <c r="F473" s="12" t="s">
        <v>8</v>
      </c>
      <c r="G473" s="46">
        <v>19.739999999999998</v>
      </c>
      <c r="H473" s="47" cm="1">
        <f t="array" ref="H473">ROUND(G473*IF(OR(MID(A473,5,3)={"BFF","PRK","FPL","LMB","FFI","MET","RIC","FLR","SUG","OIL","DRK","JCE","FEG"}),1.21,IF(OR(MID(A473,5,3)={"FVG","FFR"}),1.33,IF(OR(MID(A473,5,3)={"FBT","FCH","FMK","FYG","MLK","ICE","FRV","FPO","FRF","FCC","BRD"}),1.28,IF(OR(MID(A473,5,3)={"BIS","CRP","HRB","TUR","IND","HYG"}),1.38,1.31)))),2)</f>
        <v>27.24</v>
      </c>
      <c r="I473" s="27">
        <f>(Table1[[#This Row],[SALE PRICE]]-Table1[[#This Row],[COST PRICE]])/Table1[[#This Row],[SALE PRICE]]</f>
        <v>0.27533039647577096</v>
      </c>
      <c r="J473" s="27" t="str">
        <f>IF(Table1[[#This Row],[MARGIN]]&lt;25%, "REVIEW", "OK")</f>
        <v>OK</v>
      </c>
    </row>
    <row r="474" spans="1:10" ht="15.6" x14ac:dyDescent="0.3">
      <c r="A474" s="18" t="s">
        <v>572</v>
      </c>
      <c r="B474" s="13" t="s">
        <v>573</v>
      </c>
      <c r="C474" s="13" t="s">
        <v>1427</v>
      </c>
      <c r="D474" s="11" t="s">
        <v>8</v>
      </c>
      <c r="E474" s="11" t="s">
        <v>8</v>
      </c>
      <c r="F474" s="13" t="s">
        <v>8</v>
      </c>
      <c r="G474" s="47">
        <v>29.94</v>
      </c>
      <c r="H474" s="46" cm="1">
        <f t="array" ref="H474">ROUND(G474*IF(OR(MID(A474,5,3)={"BFF","PRK","FPL","LMB","FFI","MET","RIC","FLR","SUG","OIL","DRK","JCE","FEG"}),1.21,IF(OR(MID(A474,5,3)={"FVG","FFR"}),1.33,IF(OR(MID(A474,5,3)={"FBT","FCH","FMK","FYG","MLK","ICE","FRV","FPO","FRF","FCC","BRD"}),1.28,IF(OR(MID(A474,5,3)={"BIS","CRP","HRB","TUR","IND","HYG"}),1.38,1.31)))),2)</f>
        <v>41.32</v>
      </c>
      <c r="I474" s="29">
        <f>(Table1[[#This Row],[SALE PRICE]]-Table1[[#This Row],[COST PRICE]])/Table1[[#This Row],[SALE PRICE]]</f>
        <v>0.27541142303969018</v>
      </c>
      <c r="J474" s="26" t="str">
        <f>IF(Table1[[#This Row],[MARGIN]]&lt;25%, "REVIEW", "OK")</f>
        <v>OK</v>
      </c>
    </row>
    <row r="475" spans="1:10" ht="15.6" x14ac:dyDescent="0.3">
      <c r="A475" s="17" t="s">
        <v>574</v>
      </c>
      <c r="B475" s="12" t="s">
        <v>575</v>
      </c>
      <c r="C475" s="12" t="s">
        <v>1427</v>
      </c>
      <c r="D475" s="10" t="s">
        <v>8</v>
      </c>
      <c r="E475" s="10" t="s">
        <v>8</v>
      </c>
      <c r="F475" s="12" t="s">
        <v>8</v>
      </c>
      <c r="G475" s="46">
        <v>38.94</v>
      </c>
      <c r="H475" s="47" cm="1">
        <f t="array" ref="H475">ROUND(G475*IF(OR(MID(A475,5,3)={"BFF","PRK","FPL","LMB","FFI","MET","RIC","FLR","SUG","OIL","DRK","JCE","FEG"}),1.21,IF(OR(MID(A475,5,3)={"FVG","FFR"}),1.33,IF(OR(MID(A475,5,3)={"FBT","FCH","FMK","FYG","MLK","ICE","FRV","FPO","FRF","FCC","BRD"}),1.28,IF(OR(MID(A475,5,3)={"BIS","CRP","HRB","TUR","IND","HYG"}),1.38,1.31)))),2)</f>
        <v>53.74</v>
      </c>
      <c r="I475" s="27">
        <f>(Table1[[#This Row],[SALE PRICE]]-Table1[[#This Row],[COST PRICE]])/Table1[[#This Row],[SALE PRICE]]</f>
        <v>0.27540007443245262</v>
      </c>
      <c r="J475" s="27" t="str">
        <f>IF(Table1[[#This Row],[MARGIN]]&lt;25%, "REVIEW", "OK")</f>
        <v>OK</v>
      </c>
    </row>
    <row r="476" spans="1:10" ht="15.6" x14ac:dyDescent="0.3">
      <c r="A476" s="18" t="s">
        <v>576</v>
      </c>
      <c r="B476" s="13" t="s">
        <v>577</v>
      </c>
      <c r="C476" s="13" t="s">
        <v>1427</v>
      </c>
      <c r="D476" s="11" t="s">
        <v>8</v>
      </c>
      <c r="E476" s="11" t="s">
        <v>8</v>
      </c>
      <c r="F476" s="13" t="s">
        <v>8</v>
      </c>
      <c r="G476" s="47">
        <v>17.489999999999998</v>
      </c>
      <c r="H476" s="46" cm="1">
        <f t="array" ref="H476">ROUND(G476*IF(OR(MID(A476,5,3)={"BFF","PRK","FPL","LMB","FFI","MET","RIC","FLR","SUG","OIL","DRK","JCE","FEG"}),1.21,IF(OR(MID(A476,5,3)={"FVG","FFR"}),1.33,IF(OR(MID(A476,5,3)={"FBT","FCH","FMK","FYG","MLK","ICE","FRV","FPO","FRF","FCC","BRD"}),1.28,IF(OR(MID(A476,5,3)={"BIS","CRP","HRB","TUR","IND","HYG"}),1.38,1.31)))),2)</f>
        <v>24.14</v>
      </c>
      <c r="I476" s="29">
        <f>(Table1[[#This Row],[SALE PRICE]]-Table1[[#This Row],[COST PRICE]])/Table1[[#This Row],[SALE PRICE]]</f>
        <v>0.27547638773819394</v>
      </c>
      <c r="J476" s="26" t="str">
        <f>IF(Table1[[#This Row],[MARGIN]]&lt;25%, "REVIEW", "OK")</f>
        <v>OK</v>
      </c>
    </row>
    <row r="477" spans="1:10" ht="15.6" x14ac:dyDescent="0.3">
      <c r="A477" s="17" t="s">
        <v>578</v>
      </c>
      <c r="B477" s="12" t="s">
        <v>579</v>
      </c>
      <c r="C477" s="12" t="s">
        <v>1427</v>
      </c>
      <c r="D477" s="10" t="s">
        <v>8</v>
      </c>
      <c r="E477" s="10" t="s">
        <v>8</v>
      </c>
      <c r="F477" s="12" t="s">
        <v>8</v>
      </c>
      <c r="G477" s="46">
        <v>11.99</v>
      </c>
      <c r="H477" s="47" cm="1">
        <f t="array" ref="H477">ROUND(G477*IF(OR(MID(A477,5,3)={"BFF","PRK","FPL","LMB","FFI","MET","RIC","FLR","SUG","OIL","DRK","JCE","FEG"}),1.21,IF(OR(MID(A477,5,3)={"FVG","FFR"}),1.33,IF(OR(MID(A477,5,3)={"FBT","FCH","FMK","FYG","MLK","ICE","FRV","FPO","FRF","FCC","BRD"}),1.28,IF(OR(MID(A477,5,3)={"BIS","CRP","HRB","TUR","IND","HYG"}),1.38,1.31)))),2)</f>
        <v>16.55</v>
      </c>
      <c r="I477" s="27">
        <f>(Table1[[#This Row],[SALE PRICE]]-Table1[[#This Row],[COST PRICE]])/Table1[[#This Row],[SALE PRICE]]</f>
        <v>0.2755287009063444</v>
      </c>
      <c r="J477" s="27" t="str">
        <f>IF(Table1[[#This Row],[MARGIN]]&lt;25%, "REVIEW", "OK")</f>
        <v>OK</v>
      </c>
    </row>
    <row r="478" spans="1:10" ht="15.6" x14ac:dyDescent="0.3">
      <c r="A478" s="18" t="s">
        <v>580</v>
      </c>
      <c r="B478" s="13" t="s">
        <v>581</v>
      </c>
      <c r="C478" s="13" t="s">
        <v>1427</v>
      </c>
      <c r="D478" s="11" t="s">
        <v>8</v>
      </c>
      <c r="E478" s="11" t="s">
        <v>8</v>
      </c>
      <c r="F478" s="13" t="s">
        <v>8</v>
      </c>
      <c r="G478" s="47">
        <v>11.19</v>
      </c>
      <c r="H478" s="46" cm="1">
        <f t="array" ref="H478">ROUND(G478*IF(OR(MID(A478,5,3)={"BFF","PRK","FPL","LMB","FFI","MET","RIC","FLR","SUG","OIL","DRK","JCE","FEG"}),1.21,IF(OR(MID(A478,5,3)={"FVG","FFR"}),1.33,IF(OR(MID(A478,5,3)={"FBT","FCH","FMK","FYG","MLK","ICE","FRV","FPO","FRF","FCC","BRD"}),1.28,IF(OR(MID(A478,5,3)={"BIS","CRP","HRB","TUR","IND","HYG"}),1.38,1.31)))),2)</f>
        <v>15.44</v>
      </c>
      <c r="I478" s="29">
        <f>(Table1[[#This Row],[SALE PRICE]]-Table1[[#This Row],[COST PRICE]])/Table1[[#This Row],[SALE PRICE]]</f>
        <v>0.27525906735751299</v>
      </c>
      <c r="J478" s="26" t="str">
        <f>IF(Table1[[#This Row],[MARGIN]]&lt;25%, "REVIEW", "OK")</f>
        <v>OK</v>
      </c>
    </row>
    <row r="479" spans="1:10" ht="15.6" x14ac:dyDescent="0.3">
      <c r="A479" s="17" t="s">
        <v>582</v>
      </c>
      <c r="B479" s="12" t="s">
        <v>583</v>
      </c>
      <c r="C479" s="12" t="s">
        <v>1427</v>
      </c>
      <c r="D479" s="10" t="s">
        <v>8</v>
      </c>
      <c r="E479" s="10"/>
      <c r="F479" s="12" t="s">
        <v>8</v>
      </c>
      <c r="G479" s="46">
        <v>11.19</v>
      </c>
      <c r="H479" s="47" cm="1">
        <f t="array" ref="H479">ROUND(G479*IF(OR(MID(A479,5,3)={"BFF","PRK","FPL","LMB","FFI","MET","RIC","FLR","SUG","OIL","DRK","JCE","FEG"}),1.21,IF(OR(MID(A479,5,3)={"FVG","FFR"}),1.33,IF(OR(MID(A479,5,3)={"FBT","FCH","FMK","FYG","MLK","ICE","FRV","FPO","FRF","FCC","BRD"}),1.28,IF(OR(MID(A479,5,3)={"BIS","CRP","HRB","TUR","IND","HYG"}),1.38,1.31)))),2)</f>
        <v>15.44</v>
      </c>
      <c r="I479" s="27">
        <f>(Table1[[#This Row],[SALE PRICE]]-Table1[[#This Row],[COST PRICE]])/Table1[[#This Row],[SALE PRICE]]</f>
        <v>0.27525906735751299</v>
      </c>
      <c r="J479" s="27" t="str">
        <f>IF(Table1[[#This Row],[MARGIN]]&lt;25%, "REVIEW", "OK")</f>
        <v>OK</v>
      </c>
    </row>
    <row r="480" spans="1:10" ht="15.6" x14ac:dyDescent="0.3">
      <c r="A480" s="18" t="s">
        <v>584</v>
      </c>
      <c r="B480" s="13" t="s">
        <v>585</v>
      </c>
      <c r="C480" s="13" t="s">
        <v>1427</v>
      </c>
      <c r="D480" s="11" t="s">
        <v>8</v>
      </c>
      <c r="E480" s="11" t="s">
        <v>8</v>
      </c>
      <c r="F480" s="13" t="s">
        <v>8</v>
      </c>
      <c r="G480" s="47">
        <v>29.25</v>
      </c>
      <c r="H480" s="46" cm="1">
        <f t="array" ref="H480">ROUND(G480*IF(OR(MID(A480,5,3)={"BFF","PRK","FPL","LMB","FFI","MET","RIC","FLR","SUG","OIL","DRK","JCE","FEG"}),1.21,IF(OR(MID(A480,5,3)={"FVG","FFR"}),1.33,IF(OR(MID(A480,5,3)={"FBT","FCH","FMK","FYG","MLK","ICE","FRV","FPO","FRF","FCC","BRD"}),1.28,IF(OR(MID(A480,5,3)={"BIS","CRP","HRB","TUR","IND","HYG"}),1.38,1.31)))),2)</f>
        <v>40.369999999999997</v>
      </c>
      <c r="I480" s="29">
        <f>(Table1[[#This Row],[SALE PRICE]]-Table1[[#This Row],[COST PRICE]])/Table1[[#This Row],[SALE PRICE]]</f>
        <v>0.27545206836759967</v>
      </c>
      <c r="J480" s="26" t="str">
        <f>IF(Table1[[#This Row],[MARGIN]]&lt;25%, "REVIEW", "OK")</f>
        <v>OK</v>
      </c>
    </row>
    <row r="481" spans="1:10" ht="15.6" x14ac:dyDescent="0.3">
      <c r="A481" s="17" t="s">
        <v>586</v>
      </c>
      <c r="B481" s="12" t="s">
        <v>587</v>
      </c>
      <c r="C481" s="12" t="s">
        <v>1427</v>
      </c>
      <c r="D481" s="10" t="s">
        <v>8</v>
      </c>
      <c r="E481" s="10" t="s">
        <v>8</v>
      </c>
      <c r="F481" s="12" t="s">
        <v>8</v>
      </c>
      <c r="G481" s="46">
        <v>7.09</v>
      </c>
      <c r="H481" s="47" cm="1">
        <f t="array" ref="H481">ROUND(G481*IF(OR(MID(A481,5,3)={"BFF","PRK","FPL","LMB","FFI","MET","RIC","FLR","SUG","OIL","DRK","JCE","FEG"}),1.21,IF(OR(MID(A481,5,3)={"FVG","FFR"}),1.33,IF(OR(MID(A481,5,3)={"FBT","FCH","FMK","FYG","MLK","ICE","FRV","FPO","FRF","FCC","BRD"}),1.28,IF(OR(MID(A481,5,3)={"BIS","CRP","HRB","TUR","IND","HYG"}),1.38,1.31)))),2)</f>
        <v>9.7799999999999994</v>
      </c>
      <c r="I481" s="27">
        <f>(Table1[[#This Row],[SALE PRICE]]-Table1[[#This Row],[COST PRICE]])/Table1[[#This Row],[SALE PRICE]]</f>
        <v>0.27505112474437626</v>
      </c>
      <c r="J481" s="27" t="str">
        <f>IF(Table1[[#This Row],[MARGIN]]&lt;25%, "REVIEW", "OK")</f>
        <v>OK</v>
      </c>
    </row>
    <row r="482" spans="1:10" ht="15.6" x14ac:dyDescent="0.3">
      <c r="A482" s="18" t="s">
        <v>588</v>
      </c>
      <c r="B482" s="13" t="s">
        <v>589</v>
      </c>
      <c r="C482" s="13" t="s">
        <v>1427</v>
      </c>
      <c r="D482" s="11" t="s">
        <v>8</v>
      </c>
      <c r="E482" s="11" t="s">
        <v>8</v>
      </c>
      <c r="F482" s="13" t="s">
        <v>8</v>
      </c>
      <c r="G482" s="47">
        <v>10.45</v>
      </c>
      <c r="H482" s="46" cm="1">
        <f t="array" ref="H482">ROUND(G482*IF(OR(MID(A482,5,3)={"BFF","PRK","FPL","LMB","FFI","MET","RIC","FLR","SUG","OIL","DRK","JCE","FEG"}),1.21,IF(OR(MID(A482,5,3)={"FVG","FFR"}),1.33,IF(OR(MID(A482,5,3)={"FBT","FCH","FMK","FYG","MLK","ICE","FRV","FPO","FRF","FCC","BRD"}),1.28,IF(OR(MID(A482,5,3)={"BIS","CRP","HRB","TUR","IND","HYG"}),1.38,1.31)))),2)</f>
        <v>14.42</v>
      </c>
      <c r="I482" s="29">
        <f>(Table1[[#This Row],[SALE PRICE]]-Table1[[#This Row],[COST PRICE]])/Table1[[#This Row],[SALE PRICE]]</f>
        <v>0.27531206657420254</v>
      </c>
      <c r="J482" s="26" t="str">
        <f>IF(Table1[[#This Row],[MARGIN]]&lt;25%, "REVIEW", "OK")</f>
        <v>OK</v>
      </c>
    </row>
    <row r="483" spans="1:10" ht="15.6" x14ac:dyDescent="0.3">
      <c r="A483" s="17" t="s">
        <v>590</v>
      </c>
      <c r="B483" s="12" t="s">
        <v>591</v>
      </c>
      <c r="C483" s="12" t="s">
        <v>1427</v>
      </c>
      <c r="D483" s="10" t="s">
        <v>8</v>
      </c>
      <c r="E483" s="10" t="s">
        <v>8</v>
      </c>
      <c r="F483" s="12" t="s">
        <v>8</v>
      </c>
      <c r="G483" s="46">
        <v>8.99</v>
      </c>
      <c r="H483" s="47" cm="1">
        <f t="array" ref="H483">ROUND(G483*IF(OR(MID(A483,5,3)={"BFF","PRK","FPL","LMB","FFI","MET","RIC","FLR","SUG","OIL","DRK","JCE","FEG"}),1.21,IF(OR(MID(A483,5,3)={"FVG","FFR"}),1.33,IF(OR(MID(A483,5,3)={"FBT","FCH","FMK","FYG","MLK","ICE","FRV","FPO","FRF","FCC","BRD"}),1.28,IF(OR(MID(A483,5,3)={"BIS","CRP","HRB","TUR","IND","HYG"}),1.38,1.31)))),2)</f>
        <v>12.41</v>
      </c>
      <c r="I483" s="27">
        <f>(Table1[[#This Row],[SALE PRICE]]-Table1[[#This Row],[COST PRICE]])/Table1[[#This Row],[SALE PRICE]]</f>
        <v>0.27558420628525382</v>
      </c>
      <c r="J483" s="27" t="str">
        <f>IF(Table1[[#This Row],[MARGIN]]&lt;25%, "REVIEW", "OK")</f>
        <v>OK</v>
      </c>
    </row>
    <row r="484" spans="1:10" ht="15.6" x14ac:dyDescent="0.3">
      <c r="A484" s="18" t="s">
        <v>592</v>
      </c>
      <c r="B484" s="13" t="s">
        <v>593</v>
      </c>
      <c r="C484" s="13" t="s">
        <v>1427</v>
      </c>
      <c r="D484" s="11" t="s">
        <v>8</v>
      </c>
      <c r="E484" s="11" t="s">
        <v>8</v>
      </c>
      <c r="F484" s="13" t="s">
        <v>8</v>
      </c>
      <c r="G484" s="47">
        <v>14.85</v>
      </c>
      <c r="H484" s="46" cm="1">
        <f t="array" ref="H484">ROUND(G484*IF(OR(MID(A484,5,3)={"BFF","PRK","FPL","LMB","FFI","MET","RIC","FLR","SUG","OIL","DRK","JCE","FEG"}),1.21,IF(OR(MID(A484,5,3)={"FVG","FFR"}),1.33,IF(OR(MID(A484,5,3)={"FBT","FCH","FMK","FYG","MLK","ICE","FRV","FPO","FRF","FCC","BRD"}),1.28,IF(OR(MID(A484,5,3)={"BIS","CRP","HRB","TUR","IND","HYG"}),1.38,1.31)))),2)</f>
        <v>20.49</v>
      </c>
      <c r="I484" s="29">
        <f>(Table1[[#This Row],[SALE PRICE]]-Table1[[#This Row],[COST PRICE]])/Table1[[#This Row],[SALE PRICE]]</f>
        <v>0.27525622254758414</v>
      </c>
      <c r="J484" s="26" t="str">
        <f>IF(Table1[[#This Row],[MARGIN]]&lt;25%, "REVIEW", "OK")</f>
        <v>OK</v>
      </c>
    </row>
    <row r="485" spans="1:10" ht="15.6" x14ac:dyDescent="0.3">
      <c r="A485" s="17" t="s">
        <v>594</v>
      </c>
      <c r="B485" s="12" t="s">
        <v>595</v>
      </c>
      <c r="C485" s="12" t="s">
        <v>1427</v>
      </c>
      <c r="D485" s="10" t="s">
        <v>8</v>
      </c>
      <c r="E485" s="10" t="s">
        <v>8</v>
      </c>
      <c r="F485" s="12" t="s">
        <v>8</v>
      </c>
      <c r="G485" s="46">
        <v>9.19</v>
      </c>
      <c r="H485" s="47" cm="1">
        <f t="array" ref="H485">ROUND(G485*IF(OR(MID(A485,5,3)={"BFF","PRK","FPL","LMB","FFI","MET","RIC","FLR","SUG","OIL","DRK","JCE","FEG"}),1.21,IF(OR(MID(A485,5,3)={"FVG","FFR"}),1.33,IF(OR(MID(A485,5,3)={"FBT","FCH","FMK","FYG","MLK","ICE","FRV","FPO","FRF","FCC","BRD"}),1.28,IF(OR(MID(A485,5,3)={"BIS","CRP","HRB","TUR","IND","HYG"}),1.38,1.31)))),2)</f>
        <v>12.68</v>
      </c>
      <c r="I485" s="27">
        <f>(Table1[[#This Row],[SALE PRICE]]-Table1[[#This Row],[COST PRICE]])/Table1[[#This Row],[SALE PRICE]]</f>
        <v>0.27523659305993692</v>
      </c>
      <c r="J485" s="27" t="str">
        <f>IF(Table1[[#This Row],[MARGIN]]&lt;25%, "REVIEW", "OK")</f>
        <v>OK</v>
      </c>
    </row>
    <row r="486" spans="1:10" ht="15.6" x14ac:dyDescent="0.3">
      <c r="A486" s="18" t="s">
        <v>1047</v>
      </c>
      <c r="B486" s="13" t="s">
        <v>1046</v>
      </c>
      <c r="C486" s="13" t="s">
        <v>1427</v>
      </c>
      <c r="D486" s="11"/>
      <c r="E486" s="11"/>
      <c r="F486" s="13"/>
      <c r="G486" s="47">
        <v>8.99</v>
      </c>
      <c r="H486" s="46" cm="1">
        <f t="array" ref="H486">ROUND(G486*IF(OR(MID(A486,5,3)={"BFF","PRK","FPL","LMB","FFI","MET","RIC","FLR","SUG","OIL","DRK","JCE","FEG"}),1.21,IF(OR(MID(A486,5,3)={"FVG","FFR"}),1.33,IF(OR(MID(A486,5,3)={"FBT","FCH","FMK","FYG","MLK","ICE","FRV","FPO","FRF","FCC","BRD"}),1.28,IF(OR(MID(A486,5,3)={"BIS","CRP","HRB","TUR","IND","HYG"}),1.38,1.31)))),2)</f>
        <v>12.41</v>
      </c>
      <c r="I486" s="29">
        <f>(Table1[[#This Row],[SALE PRICE]]-Table1[[#This Row],[COST PRICE]])/Table1[[#This Row],[SALE PRICE]]</f>
        <v>0.27558420628525382</v>
      </c>
      <c r="J486" s="26" t="str">
        <f>IF(Table1[[#This Row],[MARGIN]]&lt;25%, "REVIEW", "OK")</f>
        <v>OK</v>
      </c>
    </row>
    <row r="487" spans="1:10" ht="15.6" x14ac:dyDescent="0.3">
      <c r="A487" s="17" t="s">
        <v>1488</v>
      </c>
      <c r="B487" s="12" t="s">
        <v>1048</v>
      </c>
      <c r="C487" s="12" t="s">
        <v>1428</v>
      </c>
      <c r="D487" s="10"/>
      <c r="E487" s="10"/>
      <c r="F487" s="12"/>
      <c r="G487" s="46">
        <v>4.29</v>
      </c>
      <c r="H487" s="47" cm="1">
        <f t="array" ref="H487">ROUND(G487*IF(OR(MID(A487,5,3)={"BFF","PRK","FPL","LMB","FFI","MET","RIC","FLR","SUG","OIL","DRK","JCE","FEG"}),1.21,IF(OR(MID(A487,5,3)={"FVG","FFR"}),1.33,IF(OR(MID(A487,5,3)={"FBT","FCH","FMK","FYG","MLK","ICE","FRV","FPO","FRF","FCC","BRD"}),1.28,IF(OR(MID(A487,5,3)={"BIS","CRP","HRB","TUR","IND","HYG"}),1.38,1.31)))),2)</f>
        <v>5.92</v>
      </c>
      <c r="I487" s="27">
        <f>(Table1[[#This Row],[SALE PRICE]]-Table1[[#This Row],[COST PRICE]])/Table1[[#This Row],[SALE PRICE]]</f>
        <v>0.27533783783783783</v>
      </c>
      <c r="J487" s="27" t="str">
        <f>IF(Table1[[#This Row],[MARGIN]]&lt;25%, "REVIEW", "OK")</f>
        <v>OK</v>
      </c>
    </row>
    <row r="488" spans="1:10" ht="31.2" x14ac:dyDescent="0.3">
      <c r="A488" s="18" t="s">
        <v>1490</v>
      </c>
      <c r="B488" s="13" t="s">
        <v>1489</v>
      </c>
      <c r="C488" s="13" t="s">
        <v>1426</v>
      </c>
      <c r="D488" s="11"/>
      <c r="E488" s="11"/>
      <c r="F488" s="13"/>
      <c r="G488" s="47">
        <v>13.69</v>
      </c>
      <c r="H488" s="46" cm="1">
        <f t="array" ref="H488">ROUND(G488*IF(OR(MID(A488,5,3)={"BFF","PRK","FPL","LMB","FFI","MET","RIC","FLR","SUG","OIL","DRK","JCE","FEG"}),1.21,IF(OR(MID(A488,5,3)={"FVG","FFR"}),1.33,IF(OR(MID(A488,5,3)={"FBT","FCH","FMK","FYG","MLK","ICE","FRV","FPO","FRF","FCC","BRD"}),1.28,IF(OR(MID(A488,5,3)={"BIS","CRP","HRB","TUR","IND","HYG"}),1.38,1.31)))),2)</f>
        <v>18.89</v>
      </c>
      <c r="I488" s="29">
        <f>(Table1[[#This Row],[SALE PRICE]]-Table1[[#This Row],[COST PRICE]])/Table1[[#This Row],[SALE PRICE]]</f>
        <v>0.27527792482795133</v>
      </c>
      <c r="J488" s="26" t="str">
        <f>IF(Table1[[#This Row],[MARGIN]]&lt;25%, "REVIEW", "OK")</f>
        <v>OK</v>
      </c>
    </row>
    <row r="489" spans="1:10" ht="31.2" x14ac:dyDescent="0.3">
      <c r="A489" s="17" t="s">
        <v>1492</v>
      </c>
      <c r="B489" s="12" t="s">
        <v>1491</v>
      </c>
      <c r="C489" s="12" t="s">
        <v>1426</v>
      </c>
      <c r="D489" s="10"/>
      <c r="E489" s="10"/>
      <c r="F489" s="12"/>
      <c r="G489" s="46">
        <v>13.79</v>
      </c>
      <c r="H489" s="47" cm="1">
        <f t="array" ref="H489">ROUND(G489*IF(OR(MID(A489,5,3)={"BFF","PRK","FPL","LMB","FFI","MET","RIC","FLR","SUG","OIL","DRK","JCE","FEG"}),1.21,IF(OR(MID(A489,5,3)={"FVG","FFR"}),1.33,IF(OR(MID(A489,5,3)={"FBT","FCH","FMK","FYG","MLK","ICE","FRV","FPO","FRF","FCC","BRD"}),1.28,IF(OR(MID(A489,5,3)={"BIS","CRP","HRB","TUR","IND","HYG"}),1.38,1.31)))),2)</f>
        <v>19.03</v>
      </c>
      <c r="I489" s="27">
        <f>(Table1[[#This Row],[SALE PRICE]]-Table1[[#This Row],[COST PRICE]])/Table1[[#This Row],[SALE PRICE]]</f>
        <v>0.27535470310036791</v>
      </c>
      <c r="J489" s="27" t="str">
        <f>IF(Table1[[#This Row],[MARGIN]]&lt;25%, "REVIEW", "OK")</f>
        <v>OK</v>
      </c>
    </row>
    <row r="490" spans="1:10" ht="31.2" x14ac:dyDescent="0.3">
      <c r="A490" s="18" t="s">
        <v>1494</v>
      </c>
      <c r="B490" s="13" t="s">
        <v>1493</v>
      </c>
      <c r="C490" s="13" t="s">
        <v>1426</v>
      </c>
      <c r="D490" s="11"/>
      <c r="E490" s="11"/>
      <c r="F490" s="13"/>
      <c r="G490" s="47">
        <v>13.69</v>
      </c>
      <c r="H490" s="46" cm="1">
        <f t="array" ref="H490">ROUND(G490*IF(OR(MID(A490,5,3)={"BFF","PRK","FPL","LMB","FFI","MET","RIC","FLR","SUG","OIL","DRK","JCE","FEG"}),1.21,IF(OR(MID(A490,5,3)={"FVG","FFR"}),1.33,IF(OR(MID(A490,5,3)={"FBT","FCH","FMK","FYG","MLK","ICE","FRV","FPO","FRF","FCC","BRD"}),1.28,IF(OR(MID(A490,5,3)={"BIS","CRP","HRB","TUR","IND","HYG"}),1.38,1.31)))),2)</f>
        <v>18.89</v>
      </c>
      <c r="I490" s="29">
        <f>(Table1[[#This Row],[SALE PRICE]]-Table1[[#This Row],[COST PRICE]])/Table1[[#This Row],[SALE PRICE]]</f>
        <v>0.27527792482795133</v>
      </c>
      <c r="J490" s="26" t="str">
        <f>IF(Table1[[#This Row],[MARGIN]]&lt;25%, "REVIEW", "OK")</f>
        <v>OK</v>
      </c>
    </row>
    <row r="491" spans="1:10" ht="31.2" x14ac:dyDescent="0.3">
      <c r="A491" s="17" t="s">
        <v>1496</v>
      </c>
      <c r="B491" s="12" t="s">
        <v>1495</v>
      </c>
      <c r="C491" s="12" t="s">
        <v>1426</v>
      </c>
      <c r="D491" s="10"/>
      <c r="E491" s="10"/>
      <c r="F491" s="12"/>
      <c r="G491" s="46">
        <v>14.75</v>
      </c>
      <c r="H491" s="47" cm="1">
        <f t="array" ref="H491">ROUND(G491*IF(OR(MID(A491,5,3)={"BFF","PRK","FPL","LMB","FFI","MET","RIC","FLR","SUG","OIL","DRK","JCE","FEG"}),1.21,IF(OR(MID(A491,5,3)={"FVG","FFR"}),1.33,IF(OR(MID(A491,5,3)={"FBT","FCH","FMK","FYG","MLK","ICE","FRV","FPO","FRF","FCC","BRD"}),1.28,IF(OR(MID(A491,5,3)={"BIS","CRP","HRB","TUR","IND","HYG"}),1.38,1.31)))),2)</f>
        <v>20.36</v>
      </c>
      <c r="I491" s="27">
        <f>(Table1[[#This Row],[SALE PRICE]]-Table1[[#This Row],[COST PRICE]])/Table1[[#This Row],[SALE PRICE]]</f>
        <v>0.27554027504911588</v>
      </c>
      <c r="J491" s="27" t="str">
        <f>IF(Table1[[#This Row],[MARGIN]]&lt;25%, "REVIEW", "OK")</f>
        <v>OK</v>
      </c>
    </row>
    <row r="492" spans="1:10" ht="15.6" x14ac:dyDescent="0.3">
      <c r="A492" s="18" t="s">
        <v>1498</v>
      </c>
      <c r="B492" s="13" t="s">
        <v>1497</v>
      </c>
      <c r="C492" s="13" t="s">
        <v>1426</v>
      </c>
      <c r="D492" s="11"/>
      <c r="E492" s="11"/>
      <c r="F492" s="13"/>
      <c r="G492" s="47">
        <v>11.7</v>
      </c>
      <c r="H492" s="46" cm="1">
        <f t="array" ref="H492">ROUND(G492*IF(OR(MID(A492,5,3)={"BFF","PRK","FPL","LMB","FFI","MET","RIC","FLR","SUG","OIL","DRK","JCE","FEG"}),1.21,IF(OR(MID(A492,5,3)={"FVG","FFR"}),1.33,IF(OR(MID(A492,5,3)={"FBT","FCH","FMK","FYG","MLK","ICE","FRV","FPO","FRF","FCC","BRD"}),1.28,IF(OR(MID(A492,5,3)={"BIS","CRP","HRB","TUR","IND","HYG"}),1.38,1.31)))),2)</f>
        <v>16.149999999999999</v>
      </c>
      <c r="I492" s="29">
        <f>(Table1[[#This Row],[SALE PRICE]]-Table1[[#This Row],[COST PRICE]])/Table1[[#This Row],[SALE PRICE]]</f>
        <v>0.27554179566563464</v>
      </c>
      <c r="J492" s="26" t="str">
        <f>IF(Table1[[#This Row],[MARGIN]]&lt;25%, "REVIEW", "OK")</f>
        <v>OK</v>
      </c>
    </row>
    <row r="493" spans="1:10" ht="15.6" x14ac:dyDescent="0.3">
      <c r="A493" s="17" t="s">
        <v>1500</v>
      </c>
      <c r="B493" s="12" t="s">
        <v>1499</v>
      </c>
      <c r="C493" s="12" t="s">
        <v>1426</v>
      </c>
      <c r="D493" s="10"/>
      <c r="E493" s="10"/>
      <c r="F493" s="12"/>
      <c r="G493" s="46">
        <v>10.49</v>
      </c>
      <c r="H493" s="47" cm="1">
        <f t="array" ref="H493">ROUND(G493*IF(OR(MID(A493,5,3)={"BFF","PRK","FPL","LMB","FFI","MET","RIC","FLR","SUG","OIL","DRK","JCE","FEG"}),1.21,IF(OR(MID(A493,5,3)={"FVG","FFR"}),1.33,IF(OR(MID(A493,5,3)={"FBT","FCH","FMK","FYG","MLK","ICE","FRV","FPO","FRF","FCC","BRD"}),1.28,IF(OR(MID(A493,5,3)={"BIS","CRP","HRB","TUR","IND","HYG"}),1.38,1.31)))),2)</f>
        <v>14.48</v>
      </c>
      <c r="I493" s="27">
        <f>(Table1[[#This Row],[SALE PRICE]]-Table1[[#This Row],[COST PRICE]])/Table1[[#This Row],[SALE PRICE]]</f>
        <v>0.27555248618784534</v>
      </c>
      <c r="J493" s="27" t="str">
        <f>IF(Table1[[#This Row],[MARGIN]]&lt;25%, "REVIEW", "OK")</f>
        <v>OK</v>
      </c>
    </row>
    <row r="494" spans="1:10" ht="15.6" x14ac:dyDescent="0.3">
      <c r="A494" s="18" t="s">
        <v>1502</v>
      </c>
      <c r="B494" s="13" t="s">
        <v>1501</v>
      </c>
      <c r="C494" s="13" t="s">
        <v>1426</v>
      </c>
      <c r="D494" s="11"/>
      <c r="E494" s="11"/>
      <c r="F494" s="13"/>
      <c r="G494" s="47">
        <v>7.09</v>
      </c>
      <c r="H494" s="46" cm="1">
        <f t="array" ref="H494">ROUND(G494*IF(OR(MID(A494,5,3)={"BFF","PRK","FPL","LMB","FFI","MET","RIC","FLR","SUG","OIL","DRK","JCE","FEG"}),1.21,IF(OR(MID(A494,5,3)={"FVG","FFR"}),1.33,IF(OR(MID(A494,5,3)={"FBT","FCH","FMK","FYG","MLK","ICE","FRV","FPO","FRF","FCC","BRD"}),1.28,IF(OR(MID(A494,5,3)={"BIS","CRP","HRB","TUR","IND","HYG"}),1.38,1.31)))),2)</f>
        <v>9.7799999999999994</v>
      </c>
      <c r="I494" s="29">
        <f>(Table1[[#This Row],[SALE PRICE]]-Table1[[#This Row],[COST PRICE]])/Table1[[#This Row],[SALE PRICE]]</f>
        <v>0.27505112474437626</v>
      </c>
      <c r="J494" s="26" t="str">
        <f>IF(Table1[[#This Row],[MARGIN]]&lt;25%, "REVIEW", "OK")</f>
        <v>OK</v>
      </c>
    </row>
    <row r="495" spans="1:10" ht="15.6" x14ac:dyDescent="0.3">
      <c r="A495" s="17" t="s">
        <v>1504</v>
      </c>
      <c r="B495" s="12" t="s">
        <v>1503</v>
      </c>
      <c r="C495" s="12" t="s">
        <v>1426</v>
      </c>
      <c r="D495" s="10"/>
      <c r="E495" s="10"/>
      <c r="F495" s="12"/>
      <c r="G495" s="46">
        <v>10.35</v>
      </c>
      <c r="H495" s="47" cm="1">
        <f t="array" ref="H495">ROUND(G495*IF(OR(MID(A495,5,3)={"BFF","PRK","FPL","LMB","FFI","MET","RIC","FLR","SUG","OIL","DRK","JCE","FEG"}),1.21,IF(OR(MID(A495,5,3)={"FVG","FFR"}),1.33,IF(OR(MID(A495,5,3)={"FBT","FCH","FMK","FYG","MLK","ICE","FRV","FPO","FRF","FCC","BRD"}),1.28,IF(OR(MID(A495,5,3)={"BIS","CRP","HRB","TUR","IND","HYG"}),1.38,1.31)))),2)</f>
        <v>14.28</v>
      </c>
      <c r="I495" s="27">
        <f>(Table1[[#This Row],[SALE PRICE]]-Table1[[#This Row],[COST PRICE]])/Table1[[#This Row],[SALE PRICE]]</f>
        <v>0.27521008403361341</v>
      </c>
      <c r="J495" s="27" t="str">
        <f>IF(Table1[[#This Row],[MARGIN]]&lt;25%, "REVIEW", "OK")</f>
        <v>OK</v>
      </c>
    </row>
    <row r="496" spans="1:10" ht="15.6" x14ac:dyDescent="0.3">
      <c r="A496" s="18" t="s">
        <v>1506</v>
      </c>
      <c r="B496" s="13" t="s">
        <v>1505</v>
      </c>
      <c r="C496" s="13" t="s">
        <v>1426</v>
      </c>
      <c r="D496" s="11"/>
      <c r="E496" s="11"/>
      <c r="F496" s="13"/>
      <c r="G496" s="47">
        <v>10.45</v>
      </c>
      <c r="H496" s="46" cm="1">
        <f t="array" ref="H496">ROUND(G496*IF(OR(MID(A496,5,3)={"BFF","PRK","FPL","LMB","FFI","MET","RIC","FLR","SUG","OIL","DRK","JCE","FEG"}),1.21,IF(OR(MID(A496,5,3)={"FVG","FFR"}),1.33,IF(OR(MID(A496,5,3)={"FBT","FCH","FMK","FYG","MLK","ICE","FRV","FPO","FRF","FCC","BRD"}),1.28,IF(OR(MID(A496,5,3)={"BIS","CRP","HRB","TUR","IND","HYG"}),1.38,1.31)))),2)</f>
        <v>14.42</v>
      </c>
      <c r="I496" s="29">
        <f>(Table1[[#This Row],[SALE PRICE]]-Table1[[#This Row],[COST PRICE]])/Table1[[#This Row],[SALE PRICE]]</f>
        <v>0.27531206657420254</v>
      </c>
      <c r="J496" s="26" t="str">
        <f>IF(Table1[[#This Row],[MARGIN]]&lt;25%, "REVIEW", "OK")</f>
        <v>OK</v>
      </c>
    </row>
    <row r="497" spans="1:10" ht="15.6" x14ac:dyDescent="0.3">
      <c r="A497" s="17" t="s">
        <v>1508</v>
      </c>
      <c r="B497" s="12" t="s">
        <v>1507</v>
      </c>
      <c r="C497" s="12" t="s">
        <v>1426</v>
      </c>
      <c r="D497" s="10"/>
      <c r="E497" s="10"/>
      <c r="F497" s="12"/>
      <c r="G497" s="46">
        <v>7.09</v>
      </c>
      <c r="H497" s="47" cm="1">
        <f t="array" ref="H497">ROUND(G497*IF(OR(MID(A497,5,3)={"BFF","PRK","FPL","LMB","FFI","MET","RIC","FLR","SUG","OIL","DRK","JCE","FEG"}),1.21,IF(OR(MID(A497,5,3)={"FVG","FFR"}),1.33,IF(OR(MID(A497,5,3)={"FBT","FCH","FMK","FYG","MLK","ICE","FRV","FPO","FRF","FCC","BRD"}),1.28,IF(OR(MID(A497,5,3)={"BIS","CRP","HRB","TUR","IND","HYG"}),1.38,1.31)))),2)</f>
        <v>9.7799999999999994</v>
      </c>
      <c r="I497" s="27">
        <f>(Table1[[#This Row],[SALE PRICE]]-Table1[[#This Row],[COST PRICE]])/Table1[[#This Row],[SALE PRICE]]</f>
        <v>0.27505112474437626</v>
      </c>
      <c r="J497" s="27" t="str">
        <f>IF(Table1[[#This Row],[MARGIN]]&lt;25%, "REVIEW", "OK")</f>
        <v>OK</v>
      </c>
    </row>
    <row r="498" spans="1:10" ht="15.6" x14ac:dyDescent="0.3">
      <c r="A498" s="18" t="s">
        <v>1510</v>
      </c>
      <c r="B498" s="13" t="s">
        <v>1509</v>
      </c>
      <c r="C498" s="13" t="s">
        <v>1426</v>
      </c>
      <c r="D498" s="11"/>
      <c r="E498" s="11"/>
      <c r="F498" s="13"/>
      <c r="G498" s="47">
        <v>10.49</v>
      </c>
      <c r="H498" s="46" cm="1">
        <f t="array" ref="H498">ROUND(G498*IF(OR(MID(A498,5,3)={"BFF","PRK","FPL","LMB","FFI","MET","RIC","FLR","SUG","OIL","DRK","JCE","FEG"}),1.21,IF(OR(MID(A498,5,3)={"FVG","FFR"}),1.33,IF(OR(MID(A498,5,3)={"FBT","FCH","FMK","FYG","MLK","ICE","FRV","FPO","FRF","FCC","BRD"}),1.28,IF(OR(MID(A498,5,3)={"BIS","CRP","HRB","TUR","IND","HYG"}),1.38,1.31)))),2)</f>
        <v>14.48</v>
      </c>
      <c r="I498" s="29">
        <f>(Table1[[#This Row],[SALE PRICE]]-Table1[[#This Row],[COST PRICE]])/Table1[[#This Row],[SALE PRICE]]</f>
        <v>0.27555248618784534</v>
      </c>
      <c r="J498" s="26" t="str">
        <f>IF(Table1[[#This Row],[MARGIN]]&lt;25%, "REVIEW", "OK")</f>
        <v>OK</v>
      </c>
    </row>
    <row r="499" spans="1:10" ht="15.6" x14ac:dyDescent="0.3">
      <c r="A499" s="17" t="s">
        <v>1512</v>
      </c>
      <c r="B499" s="12" t="s">
        <v>1511</v>
      </c>
      <c r="C499" s="12" t="s">
        <v>1426</v>
      </c>
      <c r="D499" s="10"/>
      <c r="E499" s="10"/>
      <c r="F499" s="12"/>
      <c r="G499" s="46">
        <v>8</v>
      </c>
      <c r="H499" s="47" cm="1">
        <f t="array" ref="H499">ROUND(G499*IF(OR(MID(A499,5,3)={"BFF","PRK","FPL","LMB","FFI","MET","RIC","FLR","SUG","OIL","DRK","JCE","FEG"}),1.21,IF(OR(MID(A499,5,3)={"FVG","FFR"}),1.33,IF(OR(MID(A499,5,3)={"FBT","FCH","FMK","FYG","MLK","ICE","FRV","FPO","FRF","FCC","BRD"}),1.28,IF(OR(MID(A499,5,3)={"BIS","CRP","HRB","TUR","IND","HYG"}),1.38,1.31)))),2)</f>
        <v>11.04</v>
      </c>
      <c r="I499" s="27">
        <f>(Table1[[#This Row],[SALE PRICE]]-Table1[[#This Row],[COST PRICE]])/Table1[[#This Row],[SALE PRICE]]</f>
        <v>0.27536231884057966</v>
      </c>
      <c r="J499" s="27" t="str">
        <f>IF(Table1[[#This Row],[MARGIN]]&lt;25%, "REVIEW", "OK")</f>
        <v>OK</v>
      </c>
    </row>
    <row r="500" spans="1:10" ht="15.6" x14ac:dyDescent="0.3">
      <c r="A500" s="18" t="s">
        <v>1514</v>
      </c>
      <c r="B500" s="13" t="s">
        <v>1513</v>
      </c>
      <c r="C500" s="13" t="s">
        <v>1426</v>
      </c>
      <c r="D500" s="11"/>
      <c r="E500" s="11"/>
      <c r="F500" s="13"/>
      <c r="G500" s="47">
        <v>10.69</v>
      </c>
      <c r="H500" s="46" cm="1">
        <f t="array" ref="H500">ROUND(G500*IF(OR(MID(A500,5,3)={"BFF","PRK","FPL","LMB","FFI","MET","RIC","FLR","SUG","OIL","DRK","JCE","FEG"}),1.21,IF(OR(MID(A500,5,3)={"FVG","FFR"}),1.33,IF(OR(MID(A500,5,3)={"FBT","FCH","FMK","FYG","MLK","ICE","FRV","FPO","FRF","FCC","BRD"}),1.28,IF(OR(MID(A500,5,3)={"BIS","CRP","HRB","TUR","IND","HYG"}),1.38,1.31)))),2)</f>
        <v>14.75</v>
      </c>
      <c r="I500" s="29">
        <f>(Table1[[#This Row],[SALE PRICE]]-Table1[[#This Row],[COST PRICE]])/Table1[[#This Row],[SALE PRICE]]</f>
        <v>0.27525423728813564</v>
      </c>
      <c r="J500" s="26" t="str">
        <f>IF(Table1[[#This Row],[MARGIN]]&lt;25%, "REVIEW", "OK")</f>
        <v>OK</v>
      </c>
    </row>
    <row r="501" spans="1:10" ht="15.6" x14ac:dyDescent="0.3">
      <c r="A501" s="17" t="s">
        <v>1516</v>
      </c>
      <c r="B501" s="12" t="s">
        <v>1515</v>
      </c>
      <c r="C501" s="12" t="s">
        <v>1426</v>
      </c>
      <c r="D501" s="10"/>
      <c r="E501" s="10"/>
      <c r="F501" s="12"/>
      <c r="G501" s="46">
        <v>7.25</v>
      </c>
      <c r="H501" s="47" cm="1">
        <f t="array" ref="H501">ROUND(G501*IF(OR(MID(A501,5,3)={"BFF","PRK","FPL","LMB","FFI","MET","RIC","FLR","SUG","OIL","DRK","JCE","FEG"}),1.21,IF(OR(MID(A501,5,3)={"FVG","FFR"}),1.33,IF(OR(MID(A501,5,3)={"FBT","FCH","FMK","FYG","MLK","ICE","FRV","FPO","FRF","FCC","BRD"}),1.28,IF(OR(MID(A501,5,3)={"BIS","CRP","HRB","TUR","IND","HYG"}),1.38,1.31)))),2)</f>
        <v>10.01</v>
      </c>
      <c r="I501" s="27">
        <f>(Table1[[#This Row],[SALE PRICE]]-Table1[[#This Row],[COST PRICE]])/Table1[[#This Row],[SALE PRICE]]</f>
        <v>0.27572427572427571</v>
      </c>
      <c r="J501" s="27" t="str">
        <f>IF(Table1[[#This Row],[MARGIN]]&lt;25%, "REVIEW", "OK")</f>
        <v>OK</v>
      </c>
    </row>
    <row r="502" spans="1:10" ht="31.2" x14ac:dyDescent="0.3">
      <c r="A502" s="18" t="s">
        <v>1518</v>
      </c>
      <c r="B502" s="13" t="s">
        <v>1517</v>
      </c>
      <c r="C502" s="13" t="s">
        <v>1426</v>
      </c>
      <c r="D502" s="11"/>
      <c r="E502" s="11"/>
      <c r="F502" s="13"/>
      <c r="G502" s="47">
        <v>11.99</v>
      </c>
      <c r="H502" s="46" cm="1">
        <f t="array" ref="H502">ROUND(G502*IF(OR(MID(A502,5,3)={"BFF","PRK","FPL","LMB","FFI","MET","RIC","FLR","SUG","OIL","DRK","JCE","FEG"}),1.21,IF(OR(MID(A502,5,3)={"FVG","FFR"}),1.33,IF(OR(MID(A502,5,3)={"FBT","FCH","FMK","FYG","MLK","ICE","FRV","FPO","FRF","FCC","BRD"}),1.28,IF(OR(MID(A502,5,3)={"BIS","CRP","HRB","TUR","IND","HYG"}),1.38,1.31)))),2)</f>
        <v>16.55</v>
      </c>
      <c r="I502" s="29">
        <f>(Table1[[#This Row],[SALE PRICE]]-Table1[[#This Row],[COST PRICE]])/Table1[[#This Row],[SALE PRICE]]</f>
        <v>0.2755287009063444</v>
      </c>
      <c r="J502" s="26" t="str">
        <f>IF(Table1[[#This Row],[MARGIN]]&lt;25%, "REVIEW", "OK")</f>
        <v>OK</v>
      </c>
    </row>
    <row r="503" spans="1:10" ht="15.6" x14ac:dyDescent="0.3">
      <c r="A503" s="17" t="s">
        <v>1520</v>
      </c>
      <c r="B503" s="12" t="s">
        <v>1519</v>
      </c>
      <c r="C503" s="12" t="s">
        <v>1426</v>
      </c>
      <c r="D503" s="10"/>
      <c r="E503" s="10"/>
      <c r="F503" s="12"/>
      <c r="G503" s="46">
        <v>6.49</v>
      </c>
      <c r="H503" s="47" cm="1">
        <f t="array" ref="H503">ROUND(G503*IF(OR(MID(A503,5,3)={"BFF","PRK","FPL","LMB","FFI","MET","RIC","FLR","SUG","OIL","DRK","JCE","FEG"}),1.21,IF(OR(MID(A503,5,3)={"FVG","FFR"}),1.33,IF(OR(MID(A503,5,3)={"FBT","FCH","FMK","FYG","MLK","ICE","FRV","FPO","FRF","FCC","BRD"}),1.28,IF(OR(MID(A503,5,3)={"BIS","CRP","HRB","TUR","IND","HYG"}),1.38,1.31)))),2)</f>
        <v>8.9600000000000009</v>
      </c>
      <c r="I503" s="27">
        <f>(Table1[[#This Row],[SALE PRICE]]-Table1[[#This Row],[COST PRICE]])/Table1[[#This Row],[SALE PRICE]]</f>
        <v>0.2756696428571429</v>
      </c>
      <c r="J503" s="27" t="str">
        <f>IF(Table1[[#This Row],[MARGIN]]&lt;25%, "REVIEW", "OK")</f>
        <v>OK</v>
      </c>
    </row>
    <row r="504" spans="1:10" ht="15.6" x14ac:dyDescent="0.3">
      <c r="A504" s="18" t="s">
        <v>1522</v>
      </c>
      <c r="B504" s="13" t="s">
        <v>1521</v>
      </c>
      <c r="C504" s="13" t="s">
        <v>1426</v>
      </c>
      <c r="D504" s="11"/>
      <c r="E504" s="11"/>
      <c r="F504" s="13"/>
      <c r="G504" s="47">
        <v>7.09</v>
      </c>
      <c r="H504" s="46" cm="1">
        <f t="array" ref="H504">ROUND(G504*IF(OR(MID(A504,5,3)={"BFF","PRK","FPL","LMB","FFI","MET","RIC","FLR","SUG","OIL","DRK","JCE","FEG"}),1.21,IF(OR(MID(A504,5,3)={"FVG","FFR"}),1.33,IF(OR(MID(A504,5,3)={"FBT","FCH","FMK","FYG","MLK","ICE","FRV","FPO","FRF","FCC","BRD"}),1.28,IF(OR(MID(A504,5,3)={"BIS","CRP","HRB","TUR","IND","HYG"}),1.38,1.31)))),2)</f>
        <v>9.7799999999999994</v>
      </c>
      <c r="I504" s="29">
        <f>(Table1[[#This Row],[SALE PRICE]]-Table1[[#This Row],[COST PRICE]])/Table1[[#This Row],[SALE PRICE]]</f>
        <v>0.27505112474437626</v>
      </c>
      <c r="J504" s="26" t="str">
        <f>IF(Table1[[#This Row],[MARGIN]]&lt;25%, "REVIEW", "OK")</f>
        <v>OK</v>
      </c>
    </row>
    <row r="505" spans="1:10" ht="15.6" x14ac:dyDescent="0.3">
      <c r="A505" s="17" t="s">
        <v>1524</v>
      </c>
      <c r="B505" s="12" t="s">
        <v>1523</v>
      </c>
      <c r="C505" s="12" t="s">
        <v>1426</v>
      </c>
      <c r="D505" s="10"/>
      <c r="E505" s="10"/>
      <c r="F505" s="12"/>
      <c r="G505" s="46">
        <v>7.69</v>
      </c>
      <c r="H505" s="47" cm="1">
        <f t="array" ref="H505">ROUND(G505*IF(OR(MID(A505,5,3)={"BFF","PRK","FPL","LMB","FFI","MET","RIC","FLR","SUG","OIL","DRK","JCE","FEG"}),1.21,IF(OR(MID(A505,5,3)={"FVG","FFR"}),1.33,IF(OR(MID(A505,5,3)={"FBT","FCH","FMK","FYG","MLK","ICE","FRV","FPO","FRF","FCC","BRD"}),1.28,IF(OR(MID(A505,5,3)={"BIS","CRP","HRB","TUR","IND","HYG"}),1.38,1.31)))),2)</f>
        <v>10.61</v>
      </c>
      <c r="I505" s="27">
        <f>(Table1[[#This Row],[SALE PRICE]]-Table1[[#This Row],[COST PRICE]])/Table1[[#This Row],[SALE PRICE]]</f>
        <v>0.2752120640904806</v>
      </c>
      <c r="J505" s="27" t="str">
        <f>IF(Table1[[#This Row],[MARGIN]]&lt;25%, "REVIEW", "OK")</f>
        <v>OK</v>
      </c>
    </row>
    <row r="506" spans="1:10" ht="15.6" x14ac:dyDescent="0.3">
      <c r="A506" s="18" t="s">
        <v>1526</v>
      </c>
      <c r="B506" s="13" t="s">
        <v>1525</v>
      </c>
      <c r="C506" s="13" t="s">
        <v>1426</v>
      </c>
      <c r="D506" s="11"/>
      <c r="E506" s="11"/>
      <c r="F506" s="13"/>
      <c r="G506" s="47">
        <v>7.09</v>
      </c>
      <c r="H506" s="46" cm="1">
        <f t="array" ref="H506">ROUND(G506*IF(OR(MID(A506,5,3)={"BFF","PRK","FPL","LMB","FFI","MET","RIC","FLR","SUG","OIL","DRK","JCE","FEG"}),1.21,IF(OR(MID(A506,5,3)={"FVG","FFR"}),1.33,IF(OR(MID(A506,5,3)={"FBT","FCH","FMK","FYG","MLK","ICE","FRV","FPO","FRF","FCC","BRD"}),1.28,IF(OR(MID(A506,5,3)={"BIS","CRP","HRB","TUR","IND","HYG"}),1.38,1.31)))),2)</f>
        <v>9.7799999999999994</v>
      </c>
      <c r="I506" s="29">
        <f>(Table1[[#This Row],[SALE PRICE]]-Table1[[#This Row],[COST PRICE]])/Table1[[#This Row],[SALE PRICE]]</f>
        <v>0.27505112474437626</v>
      </c>
      <c r="J506" s="26" t="str">
        <f>IF(Table1[[#This Row],[MARGIN]]&lt;25%, "REVIEW", "OK")</f>
        <v>OK</v>
      </c>
    </row>
    <row r="507" spans="1:10" ht="15.6" x14ac:dyDescent="0.3">
      <c r="A507" s="17" t="s">
        <v>1528</v>
      </c>
      <c r="B507" s="12" t="s">
        <v>1527</v>
      </c>
      <c r="C507" s="12" t="s">
        <v>1426</v>
      </c>
      <c r="D507" s="10"/>
      <c r="E507" s="10"/>
      <c r="F507" s="12"/>
      <c r="G507" s="46">
        <v>10.39</v>
      </c>
      <c r="H507" s="47" cm="1">
        <f t="array" ref="H507">ROUND(G507*IF(OR(MID(A507,5,3)={"BFF","PRK","FPL","LMB","FFI","MET","RIC","FLR","SUG","OIL","DRK","JCE","FEG"}),1.21,IF(OR(MID(A507,5,3)={"FVG","FFR"}),1.33,IF(OR(MID(A507,5,3)={"FBT","FCH","FMK","FYG","MLK","ICE","FRV","FPO","FRF","FCC","BRD"}),1.28,IF(OR(MID(A507,5,3)={"BIS","CRP","HRB","TUR","IND","HYG"}),1.38,1.31)))),2)</f>
        <v>14.34</v>
      </c>
      <c r="I507" s="27">
        <f>(Table1[[#This Row],[SALE PRICE]]-Table1[[#This Row],[COST PRICE]])/Table1[[#This Row],[SALE PRICE]]</f>
        <v>0.27545327754532772</v>
      </c>
      <c r="J507" s="27" t="str">
        <f>IF(Table1[[#This Row],[MARGIN]]&lt;25%, "REVIEW", "OK")</f>
        <v>OK</v>
      </c>
    </row>
    <row r="508" spans="1:10" ht="31.2" x14ac:dyDescent="0.3">
      <c r="A508" s="18" t="s">
        <v>1530</v>
      </c>
      <c r="B508" s="13" t="s">
        <v>1529</v>
      </c>
      <c r="C508" s="13" t="s">
        <v>1426</v>
      </c>
      <c r="D508" s="11"/>
      <c r="E508" s="11"/>
      <c r="F508" s="13"/>
      <c r="G508" s="47">
        <v>53.49</v>
      </c>
      <c r="H508" s="46" cm="1">
        <f t="array" ref="H508">ROUND(G508*IF(OR(MID(A508,5,3)={"BFF","PRK","FPL","LMB","FFI","MET","RIC","FLR","SUG","OIL","DRK","JCE","FEG"}),1.21,IF(OR(MID(A508,5,3)={"FVG","FFR"}),1.33,IF(OR(MID(A508,5,3)={"FBT","FCH","FMK","FYG","MLK","ICE","FRV","FPO","FRF","FCC","BRD"}),1.28,IF(OR(MID(A508,5,3)={"BIS","CRP","HRB","TUR","IND","HYG"}),1.38,1.31)))),2)</f>
        <v>73.819999999999993</v>
      </c>
      <c r="I508" s="29">
        <f>(Table1[[#This Row],[SALE PRICE]]-Table1[[#This Row],[COST PRICE]])/Table1[[#This Row],[SALE PRICE]]</f>
        <v>0.27539962069899748</v>
      </c>
      <c r="J508" s="26" t="str">
        <f>IF(Table1[[#This Row],[MARGIN]]&lt;25%, "REVIEW", "OK")</f>
        <v>OK</v>
      </c>
    </row>
    <row r="509" spans="1:10" ht="31.2" x14ac:dyDescent="0.3">
      <c r="A509" s="17" t="s">
        <v>1532</v>
      </c>
      <c r="B509" s="12" t="s">
        <v>1531</v>
      </c>
      <c r="C509" s="12" t="s">
        <v>1426</v>
      </c>
      <c r="D509" s="10"/>
      <c r="E509" s="10"/>
      <c r="F509" s="12"/>
      <c r="G509" s="46">
        <v>14.85</v>
      </c>
      <c r="H509" s="47" cm="1">
        <f t="array" ref="H509">ROUND(G509*IF(OR(MID(A509,5,3)={"BFF","PRK","FPL","LMB","FFI","MET","RIC","FLR","SUG","OIL","DRK","JCE","FEG"}),1.21,IF(OR(MID(A509,5,3)={"FVG","FFR"}),1.33,IF(OR(MID(A509,5,3)={"FBT","FCH","FMK","FYG","MLK","ICE","FRV","FPO","FRF","FCC","BRD"}),1.28,IF(OR(MID(A509,5,3)={"BIS","CRP","HRB","TUR","IND","HYG"}),1.38,1.31)))),2)</f>
        <v>20.49</v>
      </c>
      <c r="I509" s="27">
        <f>(Table1[[#This Row],[SALE PRICE]]-Table1[[#This Row],[COST PRICE]])/Table1[[#This Row],[SALE PRICE]]</f>
        <v>0.27525622254758414</v>
      </c>
      <c r="J509" s="27" t="str">
        <f>IF(Table1[[#This Row],[MARGIN]]&lt;25%, "REVIEW", "OK")</f>
        <v>OK</v>
      </c>
    </row>
    <row r="510" spans="1:10" ht="15.6" x14ac:dyDescent="0.3">
      <c r="A510" s="18" t="s">
        <v>1534</v>
      </c>
      <c r="B510" s="13" t="s">
        <v>1533</v>
      </c>
      <c r="C510" s="13" t="s">
        <v>1426</v>
      </c>
      <c r="D510" s="11"/>
      <c r="E510" s="11"/>
      <c r="F510" s="13"/>
      <c r="G510" s="47">
        <v>16.45</v>
      </c>
      <c r="H510" s="46" cm="1">
        <f t="array" ref="H510">ROUND(G510*IF(OR(MID(A510,5,3)={"BFF","PRK","FPL","LMB","FFI","MET","RIC","FLR","SUG","OIL","DRK","JCE","FEG"}),1.21,IF(OR(MID(A510,5,3)={"FVG","FFR"}),1.33,IF(OR(MID(A510,5,3)={"FBT","FCH","FMK","FYG","MLK","ICE","FRV","FPO","FRF","FCC","BRD"}),1.28,IF(OR(MID(A510,5,3)={"BIS","CRP","HRB","TUR","IND","HYG"}),1.38,1.31)))),2)</f>
        <v>22.7</v>
      </c>
      <c r="I510" s="29">
        <f>(Table1[[#This Row],[SALE PRICE]]-Table1[[#This Row],[COST PRICE]])/Table1[[#This Row],[SALE PRICE]]</f>
        <v>0.27533039647577096</v>
      </c>
      <c r="J510" s="26" t="str">
        <f>IF(Table1[[#This Row],[MARGIN]]&lt;25%, "REVIEW", "OK")</f>
        <v>OK</v>
      </c>
    </row>
    <row r="511" spans="1:10" ht="31.2" x14ac:dyDescent="0.3">
      <c r="A511" s="17" t="s">
        <v>1536</v>
      </c>
      <c r="B511" s="12" t="s">
        <v>1535</v>
      </c>
      <c r="C511" s="12" t="s">
        <v>1426</v>
      </c>
      <c r="D511" s="10"/>
      <c r="E511" s="10"/>
      <c r="F511" s="12"/>
      <c r="G511" s="46">
        <v>14.85</v>
      </c>
      <c r="H511" s="47" cm="1">
        <f t="array" ref="H511">ROUND(G511*IF(OR(MID(A511,5,3)={"BFF","PRK","FPL","LMB","FFI","MET","RIC","FLR","SUG","OIL","DRK","JCE","FEG"}),1.21,IF(OR(MID(A511,5,3)={"FVG","FFR"}),1.33,IF(OR(MID(A511,5,3)={"FBT","FCH","FMK","FYG","MLK","ICE","FRV","FPO","FRF","FCC","BRD"}),1.28,IF(OR(MID(A511,5,3)={"BIS","CRP","HRB","TUR","IND","HYG"}),1.38,1.31)))),2)</f>
        <v>20.49</v>
      </c>
      <c r="I511" s="27">
        <f>(Table1[[#This Row],[SALE PRICE]]-Table1[[#This Row],[COST PRICE]])/Table1[[#This Row],[SALE PRICE]]</f>
        <v>0.27525622254758414</v>
      </c>
      <c r="J511" s="27" t="str">
        <f>IF(Table1[[#This Row],[MARGIN]]&lt;25%, "REVIEW", "OK")</f>
        <v>OK</v>
      </c>
    </row>
    <row r="512" spans="1:10" ht="31.2" x14ac:dyDescent="0.3">
      <c r="A512" s="18" t="s">
        <v>1538</v>
      </c>
      <c r="B512" s="13" t="s">
        <v>1537</v>
      </c>
      <c r="C512" s="13" t="s">
        <v>1426</v>
      </c>
      <c r="D512" s="11"/>
      <c r="E512" s="11"/>
      <c r="F512" s="13"/>
      <c r="G512" s="47">
        <v>16.649999999999999</v>
      </c>
      <c r="H512" s="46" cm="1">
        <f t="array" ref="H512">ROUND(G512*IF(OR(MID(A512,5,3)={"BFF","PRK","FPL","LMB","FFI","MET","RIC","FLR","SUG","OIL","DRK","JCE","FEG"}),1.21,IF(OR(MID(A512,5,3)={"FVG","FFR"}),1.33,IF(OR(MID(A512,5,3)={"FBT","FCH","FMK","FYG","MLK","ICE","FRV","FPO","FRF","FCC","BRD"}),1.28,IF(OR(MID(A512,5,3)={"BIS","CRP","HRB","TUR","IND","HYG"}),1.38,1.31)))),2)</f>
        <v>22.98</v>
      </c>
      <c r="I512" s="29">
        <f>(Table1[[#This Row],[SALE PRICE]]-Table1[[#This Row],[COST PRICE]])/Table1[[#This Row],[SALE PRICE]]</f>
        <v>0.27545691906005232</v>
      </c>
      <c r="J512" s="26" t="str">
        <f>IF(Table1[[#This Row],[MARGIN]]&lt;25%, "REVIEW", "OK")</f>
        <v>OK</v>
      </c>
    </row>
    <row r="513" spans="1:10" ht="31.2" x14ac:dyDescent="0.3">
      <c r="A513" s="17" t="s">
        <v>1540</v>
      </c>
      <c r="B513" s="12" t="s">
        <v>1539</v>
      </c>
      <c r="C513" s="12" t="s">
        <v>1426</v>
      </c>
      <c r="D513" s="10"/>
      <c r="E513" s="10"/>
      <c r="F513" s="12"/>
      <c r="G513" s="46">
        <v>13.43</v>
      </c>
      <c r="H513" s="47" cm="1">
        <f t="array" ref="H513">ROUND(G513*IF(OR(MID(A513,5,3)={"BFF","PRK","FPL","LMB","FFI","MET","RIC","FLR","SUG","OIL","DRK","JCE","FEG"}),1.21,IF(OR(MID(A513,5,3)={"FVG","FFR"}),1.33,IF(OR(MID(A513,5,3)={"FBT","FCH","FMK","FYG","MLK","ICE","FRV","FPO","FRF","FCC","BRD"}),1.28,IF(OR(MID(A513,5,3)={"BIS","CRP","HRB","TUR","IND","HYG"}),1.38,1.31)))),2)</f>
        <v>18.53</v>
      </c>
      <c r="I513" s="27">
        <f>(Table1[[#This Row],[SALE PRICE]]-Table1[[#This Row],[COST PRICE]])/Table1[[#This Row],[SALE PRICE]]</f>
        <v>0.27522935779816521</v>
      </c>
      <c r="J513" s="27" t="str">
        <f>IF(Table1[[#This Row],[MARGIN]]&lt;25%, "REVIEW", "OK")</f>
        <v>OK</v>
      </c>
    </row>
    <row r="514" spans="1:10" ht="15.6" x14ac:dyDescent="0.3">
      <c r="A514" s="18" t="s">
        <v>1542</v>
      </c>
      <c r="B514" s="13" t="s">
        <v>1541</v>
      </c>
      <c r="C514" s="13" t="s">
        <v>1426</v>
      </c>
      <c r="D514" s="11"/>
      <c r="E514" s="11"/>
      <c r="F514" s="13"/>
      <c r="G514" s="47">
        <v>13.43</v>
      </c>
      <c r="H514" s="46" cm="1">
        <f t="array" ref="H514">ROUND(G514*IF(OR(MID(A514,5,3)={"BFF","PRK","FPL","LMB","FFI","MET","RIC","FLR","SUG","OIL","DRK","JCE","FEG"}),1.21,IF(OR(MID(A514,5,3)={"FVG","FFR"}),1.33,IF(OR(MID(A514,5,3)={"FBT","FCH","FMK","FYG","MLK","ICE","FRV","FPO","FRF","FCC","BRD"}),1.28,IF(OR(MID(A514,5,3)={"BIS","CRP","HRB","TUR","IND","HYG"}),1.38,1.31)))),2)</f>
        <v>18.53</v>
      </c>
      <c r="I514" s="29">
        <f>(Table1[[#This Row],[SALE PRICE]]-Table1[[#This Row],[COST PRICE]])/Table1[[#This Row],[SALE PRICE]]</f>
        <v>0.27522935779816521</v>
      </c>
      <c r="J514" s="26" t="str">
        <f>IF(Table1[[#This Row],[MARGIN]]&lt;25%, "REVIEW", "OK")</f>
        <v>OK</v>
      </c>
    </row>
    <row r="515" spans="1:10" ht="31.2" x14ac:dyDescent="0.3">
      <c r="A515" s="17" t="s">
        <v>1544</v>
      </c>
      <c r="B515" s="12" t="s">
        <v>1543</v>
      </c>
      <c r="C515" s="12" t="s">
        <v>1426</v>
      </c>
      <c r="D515" s="10"/>
      <c r="E515" s="10"/>
      <c r="F515" s="12"/>
      <c r="G515" s="46">
        <v>13.43</v>
      </c>
      <c r="H515" s="47" cm="1">
        <f t="array" ref="H515">ROUND(G515*IF(OR(MID(A515,5,3)={"BFF","PRK","FPL","LMB","FFI","MET","RIC","FLR","SUG","OIL","DRK","JCE","FEG"}),1.21,IF(OR(MID(A515,5,3)={"FVG","FFR"}),1.33,IF(OR(MID(A515,5,3)={"FBT","FCH","FMK","FYG","MLK","ICE","FRV","FPO","FRF","FCC","BRD"}),1.28,IF(OR(MID(A515,5,3)={"BIS","CRP","HRB","TUR","IND","HYG"}),1.38,1.31)))),2)</f>
        <v>18.53</v>
      </c>
      <c r="I515" s="27">
        <f>(Table1[[#This Row],[SALE PRICE]]-Table1[[#This Row],[COST PRICE]])/Table1[[#This Row],[SALE PRICE]]</f>
        <v>0.27522935779816521</v>
      </c>
      <c r="J515" s="27" t="str">
        <f>IF(Table1[[#This Row],[MARGIN]]&lt;25%, "REVIEW", "OK")</f>
        <v>OK</v>
      </c>
    </row>
    <row r="516" spans="1:10" ht="31.2" x14ac:dyDescent="0.3">
      <c r="A516" s="18" t="s">
        <v>1546</v>
      </c>
      <c r="B516" s="13" t="s">
        <v>1545</v>
      </c>
      <c r="C516" s="13" t="s">
        <v>1426</v>
      </c>
      <c r="D516" s="11"/>
      <c r="E516" s="11"/>
      <c r="F516" s="13"/>
      <c r="G516" s="47">
        <v>13.43</v>
      </c>
      <c r="H516" s="46" cm="1">
        <f t="array" ref="H516">ROUND(G516*IF(OR(MID(A516,5,3)={"BFF","PRK","FPL","LMB","FFI","MET","RIC","FLR","SUG","OIL","DRK","JCE","FEG"}),1.21,IF(OR(MID(A516,5,3)={"FVG","FFR"}),1.33,IF(OR(MID(A516,5,3)={"FBT","FCH","FMK","FYG","MLK","ICE","FRV","FPO","FRF","FCC","BRD"}),1.28,IF(OR(MID(A516,5,3)={"BIS","CRP","HRB","TUR","IND","HYG"}),1.38,1.31)))),2)</f>
        <v>18.53</v>
      </c>
      <c r="I516" s="29">
        <f>(Table1[[#This Row],[SALE PRICE]]-Table1[[#This Row],[COST PRICE]])/Table1[[#This Row],[SALE PRICE]]</f>
        <v>0.27522935779816521</v>
      </c>
      <c r="J516" s="26" t="str">
        <f>IF(Table1[[#This Row],[MARGIN]]&lt;25%, "REVIEW", "OK")</f>
        <v>OK</v>
      </c>
    </row>
    <row r="517" spans="1:10" ht="31.2" x14ac:dyDescent="0.3">
      <c r="A517" s="17" t="s">
        <v>1548</v>
      </c>
      <c r="B517" s="12" t="s">
        <v>1547</v>
      </c>
      <c r="C517" s="12" t="s">
        <v>1426</v>
      </c>
      <c r="D517" s="10"/>
      <c r="E517" s="10"/>
      <c r="F517" s="12"/>
      <c r="G517" s="46">
        <v>19.62</v>
      </c>
      <c r="H517" s="47" cm="1">
        <f t="array" ref="H517">ROUND(G517*IF(OR(MID(A517,5,3)={"BFF","PRK","FPL","LMB","FFI","MET","RIC","FLR","SUG","OIL","DRK","JCE","FEG"}),1.21,IF(OR(MID(A517,5,3)={"FVG","FFR"}),1.33,IF(OR(MID(A517,5,3)={"FBT","FCH","FMK","FYG","MLK","ICE","FRV","FPO","FRF","FCC","BRD"}),1.28,IF(OR(MID(A517,5,3)={"BIS","CRP","HRB","TUR","IND","HYG"}),1.38,1.31)))),2)</f>
        <v>27.08</v>
      </c>
      <c r="I517" s="27">
        <f>(Table1[[#This Row],[SALE PRICE]]-Table1[[#This Row],[COST PRICE]])/Table1[[#This Row],[SALE PRICE]]</f>
        <v>0.27548005908419487</v>
      </c>
      <c r="J517" s="27" t="str">
        <f>IF(Table1[[#This Row],[MARGIN]]&lt;25%, "REVIEW", "OK")</f>
        <v>OK</v>
      </c>
    </row>
    <row r="518" spans="1:10" ht="15.6" x14ac:dyDescent="0.3">
      <c r="A518" s="18" t="s">
        <v>1550</v>
      </c>
      <c r="B518" s="13" t="s">
        <v>1549</v>
      </c>
      <c r="C518" s="13" t="s">
        <v>1426</v>
      </c>
      <c r="D518" s="11"/>
      <c r="E518" s="11"/>
      <c r="F518" s="13"/>
      <c r="G518" s="47">
        <v>19.62</v>
      </c>
      <c r="H518" s="46" cm="1">
        <f t="array" ref="H518">ROUND(G518*IF(OR(MID(A518,5,3)={"BFF","PRK","FPL","LMB","FFI","MET","RIC","FLR","SUG","OIL","DRK","JCE","FEG"}),1.21,IF(OR(MID(A518,5,3)={"FVG","FFR"}),1.33,IF(OR(MID(A518,5,3)={"FBT","FCH","FMK","FYG","MLK","ICE","FRV","FPO","FRF","FCC","BRD"}),1.28,IF(OR(MID(A518,5,3)={"BIS","CRP","HRB","TUR","IND","HYG"}),1.38,1.31)))),2)</f>
        <v>27.08</v>
      </c>
      <c r="I518" s="29">
        <f>(Table1[[#This Row],[SALE PRICE]]-Table1[[#This Row],[COST PRICE]])/Table1[[#This Row],[SALE PRICE]]</f>
        <v>0.27548005908419487</v>
      </c>
      <c r="J518" s="26" t="str">
        <f>IF(Table1[[#This Row],[MARGIN]]&lt;25%, "REVIEW", "OK")</f>
        <v>OK</v>
      </c>
    </row>
    <row r="519" spans="1:10" ht="15.6" x14ac:dyDescent="0.3">
      <c r="A519" s="17" t="s">
        <v>1552</v>
      </c>
      <c r="B519" s="12" t="s">
        <v>1551</v>
      </c>
      <c r="C519" s="12" t="s">
        <v>1426</v>
      </c>
      <c r="D519" s="10"/>
      <c r="E519" s="10"/>
      <c r="F519" s="12"/>
      <c r="G519" s="46">
        <v>19.62</v>
      </c>
      <c r="H519" s="47" cm="1">
        <f t="array" ref="H519">ROUND(G519*IF(OR(MID(A519,5,3)={"BFF","PRK","FPL","LMB","FFI","MET","RIC","FLR","SUG","OIL","DRK","JCE","FEG"}),1.21,IF(OR(MID(A519,5,3)={"FVG","FFR"}),1.33,IF(OR(MID(A519,5,3)={"FBT","FCH","FMK","FYG","MLK","ICE","FRV","FPO","FRF","FCC","BRD"}),1.28,IF(OR(MID(A519,5,3)={"BIS","CRP","HRB","TUR","IND","HYG"}),1.38,1.31)))),2)</f>
        <v>27.08</v>
      </c>
      <c r="I519" s="27">
        <f>(Table1[[#This Row],[SALE PRICE]]-Table1[[#This Row],[COST PRICE]])/Table1[[#This Row],[SALE PRICE]]</f>
        <v>0.27548005908419487</v>
      </c>
      <c r="J519" s="27" t="str">
        <f>IF(Table1[[#This Row],[MARGIN]]&lt;25%, "REVIEW", "OK")</f>
        <v>OK</v>
      </c>
    </row>
    <row r="520" spans="1:10" ht="31.2" x14ac:dyDescent="0.3">
      <c r="A520" s="18" t="s">
        <v>1554</v>
      </c>
      <c r="B520" s="13" t="s">
        <v>1553</v>
      </c>
      <c r="C520" s="13" t="s">
        <v>1426</v>
      </c>
      <c r="D520" s="11"/>
      <c r="E520" s="11"/>
      <c r="F520" s="13"/>
      <c r="G520" s="47">
        <v>74.34</v>
      </c>
      <c r="H520" s="46" cm="1">
        <f t="array" ref="H520">ROUND(G520*IF(OR(MID(A520,5,3)={"BFF","PRK","FPL","LMB","FFI","MET","RIC","FLR","SUG","OIL","DRK","JCE","FEG"}),1.21,IF(OR(MID(A520,5,3)={"FVG","FFR"}),1.33,IF(OR(MID(A520,5,3)={"FBT","FCH","FMK","FYG","MLK","ICE","FRV","FPO","FRF","FCC","BRD"}),1.28,IF(OR(MID(A520,5,3)={"BIS","CRP","HRB","TUR","IND","HYG"}),1.38,1.31)))),2)</f>
        <v>102.59</v>
      </c>
      <c r="I520" s="29">
        <f>(Table1[[#This Row],[SALE PRICE]]-Table1[[#This Row],[COST PRICE]])/Table1[[#This Row],[SALE PRICE]]</f>
        <v>0.27536796958767912</v>
      </c>
      <c r="J520" s="26" t="str">
        <f>IF(Table1[[#This Row],[MARGIN]]&lt;25%, "REVIEW", "OK")</f>
        <v>OK</v>
      </c>
    </row>
    <row r="521" spans="1:10" ht="31.2" x14ac:dyDescent="0.3">
      <c r="A521" s="17" t="s">
        <v>1556</v>
      </c>
      <c r="B521" s="12" t="s">
        <v>1555</v>
      </c>
      <c r="C521" s="12" t="s">
        <v>1426</v>
      </c>
      <c r="D521" s="10"/>
      <c r="E521" s="10"/>
      <c r="F521" s="12"/>
      <c r="G521" s="46">
        <v>29.99</v>
      </c>
      <c r="H521" s="47" cm="1">
        <f t="array" ref="H521">ROUND(G521*IF(OR(MID(A521,5,3)={"BFF","PRK","FPL","LMB","FFI","MET","RIC","FLR","SUG","OIL","DRK","JCE","FEG"}),1.21,IF(OR(MID(A521,5,3)={"FVG","FFR"}),1.33,IF(OR(MID(A521,5,3)={"FBT","FCH","FMK","FYG","MLK","ICE","FRV","FPO","FRF","FCC","BRD"}),1.28,IF(OR(MID(A521,5,3)={"BIS","CRP","HRB","TUR","IND","HYG"}),1.38,1.31)))),2)</f>
        <v>41.39</v>
      </c>
      <c r="I521" s="27">
        <f>(Table1[[#This Row],[SALE PRICE]]-Table1[[#This Row],[COST PRICE]])/Table1[[#This Row],[SALE PRICE]]</f>
        <v>0.2754288475477169</v>
      </c>
      <c r="J521" s="27" t="str">
        <f>IF(Table1[[#This Row],[MARGIN]]&lt;25%, "REVIEW", "OK")</f>
        <v>OK</v>
      </c>
    </row>
    <row r="522" spans="1:10" ht="31.2" x14ac:dyDescent="0.3">
      <c r="A522" s="18" t="s">
        <v>1558</v>
      </c>
      <c r="B522" s="13" t="s">
        <v>1557</v>
      </c>
      <c r="C522" s="13" t="s">
        <v>1426</v>
      </c>
      <c r="D522" s="11"/>
      <c r="E522" s="11"/>
      <c r="F522" s="13"/>
      <c r="G522" s="47">
        <v>29.99</v>
      </c>
      <c r="H522" s="46" cm="1">
        <f t="array" ref="H522">ROUND(G522*IF(OR(MID(A522,5,3)={"BFF","PRK","FPL","LMB","FFI","MET","RIC","FLR","SUG","OIL","DRK","JCE","FEG"}),1.21,IF(OR(MID(A522,5,3)={"FVG","FFR"}),1.33,IF(OR(MID(A522,5,3)={"FBT","FCH","FMK","FYG","MLK","ICE","FRV","FPO","FRF","FCC","BRD"}),1.28,IF(OR(MID(A522,5,3)={"BIS","CRP","HRB","TUR","IND","HYG"}),1.38,1.31)))),2)</f>
        <v>41.39</v>
      </c>
      <c r="I522" s="29">
        <f>(Table1[[#This Row],[SALE PRICE]]-Table1[[#This Row],[COST PRICE]])/Table1[[#This Row],[SALE PRICE]]</f>
        <v>0.2754288475477169</v>
      </c>
      <c r="J522" s="26" t="str">
        <f>IF(Table1[[#This Row],[MARGIN]]&lt;25%, "REVIEW", "OK")</f>
        <v>OK</v>
      </c>
    </row>
    <row r="523" spans="1:10" ht="31.2" x14ac:dyDescent="0.3">
      <c r="A523" s="17" t="s">
        <v>1560</v>
      </c>
      <c r="B523" s="12" t="s">
        <v>1559</v>
      </c>
      <c r="C523" s="12" t="s">
        <v>1426</v>
      </c>
      <c r="D523" s="10"/>
      <c r="E523" s="10"/>
      <c r="F523" s="12"/>
      <c r="G523" s="46">
        <v>40.549999999999997</v>
      </c>
      <c r="H523" s="47" cm="1">
        <f t="array" ref="H523">ROUND(G523*IF(OR(MID(A523,5,3)={"BFF","PRK","FPL","LMB","FFI","MET","RIC","FLR","SUG","OIL","DRK","JCE","FEG"}),1.21,IF(OR(MID(A523,5,3)={"FVG","FFR"}),1.33,IF(OR(MID(A523,5,3)={"FBT","FCH","FMK","FYG","MLK","ICE","FRV","FPO","FRF","FCC","BRD"}),1.28,IF(OR(MID(A523,5,3)={"BIS","CRP","HRB","TUR","IND","HYG"}),1.38,1.31)))),2)</f>
        <v>55.96</v>
      </c>
      <c r="I523" s="27">
        <f>(Table1[[#This Row],[SALE PRICE]]-Table1[[#This Row],[COST PRICE]])/Table1[[#This Row],[SALE PRICE]]</f>
        <v>0.27537526804860624</v>
      </c>
      <c r="J523" s="27" t="str">
        <f>IF(Table1[[#This Row],[MARGIN]]&lt;25%, "REVIEW", "OK")</f>
        <v>OK</v>
      </c>
    </row>
    <row r="524" spans="1:10" ht="31.2" x14ac:dyDescent="0.3">
      <c r="A524" s="18" t="s">
        <v>1562</v>
      </c>
      <c r="B524" s="13" t="s">
        <v>1561</v>
      </c>
      <c r="C524" s="13" t="s">
        <v>1426</v>
      </c>
      <c r="D524" s="11"/>
      <c r="E524" s="11"/>
      <c r="F524" s="13"/>
      <c r="G524" s="47">
        <v>79.19</v>
      </c>
      <c r="H524" s="46" cm="1">
        <f t="array" ref="H524">ROUND(G524*IF(OR(MID(A524,5,3)={"BFF","PRK","FPL","LMB","FFI","MET","RIC","FLR","SUG","OIL","DRK","JCE","FEG"}),1.21,IF(OR(MID(A524,5,3)={"FVG","FFR"}),1.33,IF(OR(MID(A524,5,3)={"FBT","FCH","FMK","FYG","MLK","ICE","FRV","FPO","FRF","FCC","BRD"}),1.28,IF(OR(MID(A524,5,3)={"BIS","CRP","HRB","TUR","IND","HYG"}),1.38,1.31)))),2)</f>
        <v>109.28</v>
      </c>
      <c r="I524" s="29">
        <f>(Table1[[#This Row],[SALE PRICE]]-Table1[[#This Row],[COST PRICE]])/Table1[[#This Row],[SALE PRICE]]</f>
        <v>0.27534773060029283</v>
      </c>
      <c r="J524" s="26" t="str">
        <f>IF(Table1[[#This Row],[MARGIN]]&lt;25%, "REVIEW", "OK")</f>
        <v>OK</v>
      </c>
    </row>
    <row r="525" spans="1:10" ht="15.6" x14ac:dyDescent="0.3">
      <c r="A525" s="17" t="s">
        <v>1564</v>
      </c>
      <c r="B525" s="12" t="s">
        <v>1563</v>
      </c>
      <c r="C525" s="12" t="s">
        <v>1426</v>
      </c>
      <c r="D525" s="10"/>
      <c r="E525" s="10"/>
      <c r="F525" s="12"/>
      <c r="G525" s="46">
        <v>28.91</v>
      </c>
      <c r="H525" s="47" cm="1">
        <f t="array" ref="H525">ROUND(G525*IF(OR(MID(A525,5,3)={"BFF","PRK","FPL","LMB","FFI","MET","RIC","FLR","SUG","OIL","DRK","JCE","FEG"}),1.21,IF(OR(MID(A525,5,3)={"FVG","FFR"}),1.33,IF(OR(MID(A525,5,3)={"FBT","FCH","FMK","FYG","MLK","ICE","FRV","FPO","FRF","FCC","BRD"}),1.28,IF(OR(MID(A525,5,3)={"BIS","CRP","HRB","TUR","IND","HYG"}),1.38,1.31)))),2)</f>
        <v>39.9</v>
      </c>
      <c r="I525" s="27">
        <f>(Table1[[#This Row],[SALE PRICE]]-Table1[[#This Row],[COST PRICE]])/Table1[[#This Row],[SALE PRICE]]</f>
        <v>0.27543859649122804</v>
      </c>
      <c r="J525" s="27" t="str">
        <f>IF(Table1[[#This Row],[MARGIN]]&lt;25%, "REVIEW", "OK")</f>
        <v>OK</v>
      </c>
    </row>
    <row r="526" spans="1:10" ht="31.2" x14ac:dyDescent="0.3">
      <c r="A526" s="18" t="s">
        <v>1566</v>
      </c>
      <c r="B526" s="13" t="s">
        <v>1565</v>
      </c>
      <c r="C526" s="13" t="s">
        <v>1426</v>
      </c>
      <c r="D526" s="11"/>
      <c r="E526" s="11"/>
      <c r="F526" s="13"/>
      <c r="G526" s="47">
        <v>49.55</v>
      </c>
      <c r="H526" s="46" cm="1">
        <f t="array" ref="H526">ROUND(G526*IF(OR(MID(A526,5,3)={"BFF","PRK","FPL","LMB","FFI","MET","RIC","FLR","SUG","OIL","DRK","JCE","FEG"}),1.21,IF(OR(MID(A526,5,3)={"FVG","FFR"}),1.33,IF(OR(MID(A526,5,3)={"FBT","FCH","FMK","FYG","MLK","ICE","FRV","FPO","FRF","FCC","BRD"}),1.28,IF(OR(MID(A526,5,3)={"BIS","CRP","HRB","TUR","IND","HYG"}),1.38,1.31)))),2)</f>
        <v>68.38</v>
      </c>
      <c r="I526" s="29">
        <f>(Table1[[#This Row],[SALE PRICE]]-Table1[[#This Row],[COST PRICE]])/Table1[[#This Row],[SALE PRICE]]</f>
        <v>0.27537291605732672</v>
      </c>
      <c r="J526" s="26" t="str">
        <f>IF(Table1[[#This Row],[MARGIN]]&lt;25%, "REVIEW", "OK")</f>
        <v>OK</v>
      </c>
    </row>
    <row r="527" spans="1:10" s="1" customFormat="1" ht="31.2" x14ac:dyDescent="0.3">
      <c r="A527" s="16" t="s">
        <v>1566</v>
      </c>
      <c r="B527" s="2" t="s">
        <v>1567</v>
      </c>
      <c r="C527" s="2" t="s">
        <v>1426</v>
      </c>
      <c r="D527" s="2">
        <v>49.55</v>
      </c>
      <c r="E527" s="2" t="s">
        <v>8</v>
      </c>
      <c r="F527" s="2" t="s">
        <v>8</v>
      </c>
      <c r="G527" s="48" t="s">
        <v>8</v>
      </c>
      <c r="H527" s="48" t="e" cm="1">
        <f t="array" ref="H527">ROUND(G527*IF(OR(MID(A527,5,3)={"BFF","PRK","FPL","LMB","FFI","MET","RIC","FLR","SUG","OIL","DRK","JCE","FEG"}),1.21,IF(OR(MID(A527,5,3)={"FVG","FFR"}),1.33,IF(OR(MID(A527,5,3)={"FBT","FCH","FMK","FYG","MLK","ICE","FRV","FPO","FRF","FCC","BRD"}),1.28,IF(OR(MID(A527,5,3)={"BIS","CRP","HRB","TUR","IND","HYG"}),1.38,1.31)))),2)</f>
        <v>#VALUE!</v>
      </c>
      <c r="I527" s="19"/>
      <c r="J527" s="19"/>
    </row>
    <row r="528" spans="1:10" ht="15.6" x14ac:dyDescent="0.3">
      <c r="A528" s="18" t="s">
        <v>1568</v>
      </c>
      <c r="B528" s="13" t="s">
        <v>1569</v>
      </c>
      <c r="C528" s="13" t="s">
        <v>1426</v>
      </c>
      <c r="D528" s="11">
        <v>42.95</v>
      </c>
      <c r="E528" s="11" t="s">
        <v>8</v>
      </c>
      <c r="F528" s="13" t="s">
        <v>8</v>
      </c>
      <c r="G528" s="47">
        <v>4.49</v>
      </c>
      <c r="H528" s="46" cm="1">
        <f t="array" ref="H528">ROUND(G528*IF(OR(MID(A528,5,3)={"BFF","PRK","FPL","LMB","FFI","MET","RIC","FLR","SUG","OIL","DRK","JCE","FEG"}),1.21,IF(OR(MID(A528,5,3)={"FVG","FFR"}),1.33,IF(OR(MID(A528,5,3)={"FBT","FCH","FMK","FYG","MLK","ICE","FRV","FPO","FRF","FCC","BRD"}),1.28,IF(OR(MID(A528,5,3)={"BIS","CRP","HRB","TUR","IND","HYG"}),1.38,1.31)))),2)</f>
        <v>6.2</v>
      </c>
      <c r="I528" s="29">
        <f>(Table1[[#This Row],[SALE PRICE]]-Table1[[#This Row],[COST PRICE]])/Table1[[#This Row],[SALE PRICE]]</f>
        <v>0.27580645161290324</v>
      </c>
      <c r="J528" s="26" t="str">
        <f>IF(Table1[[#This Row],[MARGIN]]&lt;25%, "REVIEW", "OK")</f>
        <v>OK</v>
      </c>
    </row>
    <row r="529" spans="1:10" ht="15.6" x14ac:dyDescent="0.3">
      <c r="A529" s="17" t="s">
        <v>1570</v>
      </c>
      <c r="B529" s="12" t="s">
        <v>1571</v>
      </c>
      <c r="C529" s="12" t="s">
        <v>1426</v>
      </c>
      <c r="D529" s="10">
        <v>19.190000000000001</v>
      </c>
      <c r="E529" s="10" t="s">
        <v>8</v>
      </c>
      <c r="F529" s="12" t="s">
        <v>8</v>
      </c>
      <c r="G529" s="46">
        <v>7.99</v>
      </c>
      <c r="H529" s="47" cm="1">
        <f t="array" ref="H529">ROUND(G529*IF(OR(MID(A529,5,3)={"BFF","PRK","FPL","LMB","FFI","MET","RIC","FLR","SUG","OIL","DRK","JCE","FEG"}),1.21,IF(OR(MID(A529,5,3)={"FVG","FFR"}),1.33,IF(OR(MID(A529,5,3)={"FBT","FCH","FMK","FYG","MLK","ICE","FRV","FPO","FRF","FCC","BRD"}),1.28,IF(OR(MID(A529,5,3)={"BIS","CRP","HRB","TUR","IND","HYG"}),1.38,1.31)))),2)</f>
        <v>11.03</v>
      </c>
      <c r="I529" s="27">
        <f>(Table1[[#This Row],[SALE PRICE]]-Table1[[#This Row],[COST PRICE]])/Table1[[#This Row],[SALE PRICE]]</f>
        <v>0.27561196736174065</v>
      </c>
      <c r="J529" s="27" t="str">
        <f>IF(Table1[[#This Row],[MARGIN]]&lt;25%, "REVIEW", "OK")</f>
        <v>OK</v>
      </c>
    </row>
    <row r="530" spans="1:10" ht="31.2" x14ac:dyDescent="0.3">
      <c r="A530" s="18" t="s">
        <v>1572</v>
      </c>
      <c r="B530" s="13" t="s">
        <v>1573</v>
      </c>
      <c r="C530" s="13" t="s">
        <v>1426</v>
      </c>
      <c r="D530" s="11">
        <v>33.299999999999997</v>
      </c>
      <c r="E530" s="11" t="s">
        <v>8</v>
      </c>
      <c r="F530" s="13" t="s">
        <v>8</v>
      </c>
      <c r="G530" s="47">
        <v>7.99</v>
      </c>
      <c r="H530" s="46" cm="1">
        <f t="array" ref="H530">ROUND(G530*IF(OR(MID(A530,5,3)={"BFF","PRK","FPL","LMB","FFI","MET","RIC","FLR","SUG","OIL","DRK","JCE","FEG"}),1.21,IF(OR(MID(A530,5,3)={"FVG","FFR"}),1.33,IF(OR(MID(A530,5,3)={"FBT","FCH","FMK","FYG","MLK","ICE","FRV","FPO","FRF","FCC","BRD"}),1.28,IF(OR(MID(A530,5,3)={"BIS","CRP","HRB","TUR","IND","HYG"}),1.38,1.31)))),2)</f>
        <v>11.03</v>
      </c>
      <c r="I530" s="29">
        <f>(Table1[[#This Row],[SALE PRICE]]-Table1[[#This Row],[COST PRICE]])/Table1[[#This Row],[SALE PRICE]]</f>
        <v>0.27561196736174065</v>
      </c>
      <c r="J530" s="26" t="str">
        <f>IF(Table1[[#This Row],[MARGIN]]&lt;25%, "REVIEW", "OK")</f>
        <v>OK</v>
      </c>
    </row>
    <row r="531" spans="1:10" ht="31.2" x14ac:dyDescent="0.3">
      <c r="A531" s="17" t="s">
        <v>1574</v>
      </c>
      <c r="B531" s="12" t="s">
        <v>1575</v>
      </c>
      <c r="C531" s="12" t="s">
        <v>1426</v>
      </c>
      <c r="D531" s="10">
        <v>64.19</v>
      </c>
      <c r="E531" s="10" t="s">
        <v>8</v>
      </c>
      <c r="F531" s="12" t="s">
        <v>8</v>
      </c>
      <c r="G531" s="46">
        <v>8.99</v>
      </c>
      <c r="H531" s="47" cm="1">
        <f t="array" ref="H531">ROUND(G531*IF(OR(MID(A531,5,3)={"BFF","PRK","FPL","LMB","FFI","MET","RIC","FLR","SUG","OIL","DRK","JCE","FEG"}),1.21,IF(OR(MID(A531,5,3)={"FVG","FFR"}),1.33,IF(OR(MID(A531,5,3)={"FBT","FCH","FMK","FYG","MLK","ICE","FRV","FPO","FRF","FCC","BRD"}),1.28,IF(OR(MID(A531,5,3)={"BIS","CRP","HRB","TUR","IND","HYG"}),1.38,1.31)))),2)</f>
        <v>12.41</v>
      </c>
      <c r="I531" s="27">
        <f>(Table1[[#This Row],[SALE PRICE]]-Table1[[#This Row],[COST PRICE]])/Table1[[#This Row],[SALE PRICE]]</f>
        <v>0.27558420628525382</v>
      </c>
      <c r="J531" s="27" t="str">
        <f>IF(Table1[[#This Row],[MARGIN]]&lt;25%, "REVIEW", "OK")</f>
        <v>OK</v>
      </c>
    </row>
    <row r="532" spans="1:10" ht="15.6" x14ac:dyDescent="0.3">
      <c r="A532" s="18" t="s">
        <v>1576</v>
      </c>
      <c r="B532" s="13" t="s">
        <v>1577</v>
      </c>
      <c r="C532" s="13" t="s">
        <v>1426</v>
      </c>
      <c r="D532" s="11">
        <v>28.67</v>
      </c>
      <c r="E532" s="11" t="s">
        <v>8</v>
      </c>
      <c r="F532" s="13" t="s">
        <v>8</v>
      </c>
      <c r="G532" s="47">
        <v>7.99</v>
      </c>
      <c r="H532" s="46" cm="1">
        <f t="array" ref="H532">ROUND(G532*IF(OR(MID(A532,5,3)={"BFF","PRK","FPL","LMB","FFI","MET","RIC","FLR","SUG","OIL","DRK","JCE","FEG"}),1.21,IF(OR(MID(A532,5,3)={"FVG","FFR"}),1.33,IF(OR(MID(A532,5,3)={"FBT","FCH","FMK","FYG","MLK","ICE","FRV","FPO","FRF","FCC","BRD"}),1.28,IF(OR(MID(A532,5,3)={"BIS","CRP","HRB","TUR","IND","HYG"}),1.38,1.31)))),2)</f>
        <v>11.03</v>
      </c>
      <c r="I532" s="29">
        <f>(Table1[[#This Row],[SALE PRICE]]-Table1[[#This Row],[COST PRICE]])/Table1[[#This Row],[SALE PRICE]]</f>
        <v>0.27561196736174065</v>
      </c>
      <c r="J532" s="26" t="str">
        <f>IF(Table1[[#This Row],[MARGIN]]&lt;25%, "REVIEW", "OK")</f>
        <v>OK</v>
      </c>
    </row>
    <row r="533" spans="1:10" ht="31.2" x14ac:dyDescent="0.3">
      <c r="A533" s="17" t="s">
        <v>1578</v>
      </c>
      <c r="B533" s="12" t="s">
        <v>1579</v>
      </c>
      <c r="C533" s="12" t="s">
        <v>1426</v>
      </c>
      <c r="D533" s="10">
        <v>51.35</v>
      </c>
      <c r="E533" s="10" t="s">
        <v>8</v>
      </c>
      <c r="F533" s="12" t="s">
        <v>8</v>
      </c>
      <c r="G533" s="46">
        <v>7.99</v>
      </c>
      <c r="H533" s="47" cm="1">
        <f t="array" ref="H533">ROUND(G533*IF(OR(MID(A533,5,3)={"BFF","PRK","FPL","LMB","FFI","MET","RIC","FLR","SUG","OIL","DRK","JCE","FEG"}),1.21,IF(OR(MID(A533,5,3)={"FVG","FFR"}),1.33,IF(OR(MID(A533,5,3)={"FBT","FCH","FMK","FYG","MLK","ICE","FRV","FPO","FRF","FCC","BRD"}),1.28,IF(OR(MID(A533,5,3)={"BIS","CRP","HRB","TUR","IND","HYG"}),1.38,1.31)))),2)</f>
        <v>11.03</v>
      </c>
      <c r="I533" s="27">
        <f>(Table1[[#This Row],[SALE PRICE]]-Table1[[#This Row],[COST PRICE]])/Table1[[#This Row],[SALE PRICE]]</f>
        <v>0.27561196736174065</v>
      </c>
      <c r="J533" s="27" t="str">
        <f>IF(Table1[[#This Row],[MARGIN]]&lt;25%, "REVIEW", "OK")</f>
        <v>OK</v>
      </c>
    </row>
    <row r="534" spans="1:10" ht="15.6" x14ac:dyDescent="0.3">
      <c r="A534" s="18" t="s">
        <v>596</v>
      </c>
      <c r="B534" s="13" t="s">
        <v>597</v>
      </c>
      <c r="C534" s="13" t="s">
        <v>1434</v>
      </c>
      <c r="D534" s="11" t="s">
        <v>8</v>
      </c>
      <c r="E534" s="11" t="s">
        <v>8</v>
      </c>
      <c r="F534" s="13" t="s">
        <v>8</v>
      </c>
      <c r="G534" s="47">
        <v>7.99</v>
      </c>
      <c r="H534" s="46" cm="1">
        <f t="array" ref="H534">ROUND(G534*IF(OR(MID(A534,5,3)={"BFF","PRK","FPL","LMB","FFI","MET","RIC","FLR","SUG","OIL","DRK","JCE","FEG"}),1.21,IF(OR(MID(A534,5,3)={"FVG","FFR"}),1.33,IF(OR(MID(A534,5,3)={"FBT","FCH","FMK","FYG","MLK","ICE","FRV","FPO","FRF","FCC","BRD"}),1.28,IF(OR(MID(A534,5,3)={"BIS","CRP","HRB","TUR","IND","HYG"}),1.38,1.31)))),2)</f>
        <v>10.47</v>
      </c>
      <c r="I534" s="29">
        <f>(Table1[[#This Row],[SALE PRICE]]-Table1[[#This Row],[COST PRICE]])/Table1[[#This Row],[SALE PRICE]]</f>
        <v>0.23686723973256926</v>
      </c>
      <c r="J534" s="26" t="str">
        <f>IF(Table1[[#This Row],[MARGIN]]&lt;25%, "REVIEW", "OK")</f>
        <v>REVIEW</v>
      </c>
    </row>
    <row r="535" spans="1:10" ht="15.6" x14ac:dyDescent="0.3">
      <c r="A535" s="17" t="s">
        <v>598</v>
      </c>
      <c r="B535" s="12" t="s">
        <v>599</v>
      </c>
      <c r="C535" s="12" t="s">
        <v>1434</v>
      </c>
      <c r="D535" s="10" t="s">
        <v>8</v>
      </c>
      <c r="E535" s="10" t="s">
        <v>8</v>
      </c>
      <c r="F535" s="12" t="s">
        <v>8</v>
      </c>
      <c r="G535" s="46">
        <v>7.99</v>
      </c>
      <c r="H535" s="47" cm="1">
        <f t="array" ref="H535">ROUND(G535*IF(OR(MID(A535,5,3)={"BFF","PRK","FPL","LMB","FFI","MET","RIC","FLR","SUG","OIL","DRK","JCE","FEG"}),1.21,IF(OR(MID(A535,5,3)={"FVG","FFR"}),1.33,IF(OR(MID(A535,5,3)={"FBT","FCH","FMK","FYG","MLK","ICE","FRV","FPO","FRF","FCC","BRD"}),1.28,IF(OR(MID(A535,5,3)={"BIS","CRP","HRB","TUR","IND","HYG"}),1.38,1.31)))),2)</f>
        <v>10.47</v>
      </c>
      <c r="I535" s="27">
        <f>(Table1[[#This Row],[SALE PRICE]]-Table1[[#This Row],[COST PRICE]])/Table1[[#This Row],[SALE PRICE]]</f>
        <v>0.23686723973256926</v>
      </c>
      <c r="J535" s="27" t="str">
        <f>IF(Table1[[#This Row],[MARGIN]]&lt;25%, "REVIEW", "OK")</f>
        <v>REVIEW</v>
      </c>
    </row>
    <row r="536" spans="1:10" ht="15.6" x14ac:dyDescent="0.3">
      <c r="A536" s="18" t="s">
        <v>600</v>
      </c>
      <c r="B536" s="13" t="s">
        <v>601</v>
      </c>
      <c r="C536" s="13" t="s">
        <v>1434</v>
      </c>
      <c r="D536" s="11" t="s">
        <v>8</v>
      </c>
      <c r="E536" s="11" t="s">
        <v>8</v>
      </c>
      <c r="F536" s="13" t="s">
        <v>8</v>
      </c>
      <c r="G536" s="47">
        <v>8.99</v>
      </c>
      <c r="H536" s="46" cm="1">
        <f t="array" ref="H536">ROUND(G536*IF(OR(MID(A536,5,3)={"BFF","PRK","FPL","LMB","FFI","MET","RIC","FLR","SUG","OIL","DRK","JCE","FEG"}),1.21,IF(OR(MID(A536,5,3)={"FVG","FFR"}),1.33,IF(OR(MID(A536,5,3)={"FBT","FCH","FMK","FYG","MLK","ICE","FRV","FPO","FRF","FCC","BRD"}),1.28,IF(OR(MID(A536,5,3)={"BIS","CRP","HRB","TUR","IND","HYG"}),1.38,1.31)))),2)</f>
        <v>11.78</v>
      </c>
      <c r="I536" s="29">
        <f>(Table1[[#This Row],[SALE PRICE]]-Table1[[#This Row],[COST PRICE]])/Table1[[#This Row],[SALE PRICE]]</f>
        <v>0.23684210526315783</v>
      </c>
      <c r="J536" s="26" t="str">
        <f>IF(Table1[[#This Row],[MARGIN]]&lt;25%, "REVIEW", "OK")</f>
        <v>REVIEW</v>
      </c>
    </row>
    <row r="537" spans="1:10" ht="15.6" x14ac:dyDescent="0.3">
      <c r="A537" s="17" t="s">
        <v>602</v>
      </c>
      <c r="B537" s="12" t="s">
        <v>603</v>
      </c>
      <c r="C537" s="12" t="s">
        <v>1430</v>
      </c>
      <c r="D537" s="10" t="s">
        <v>8</v>
      </c>
      <c r="E537" s="10" t="s">
        <v>8</v>
      </c>
      <c r="F537" s="12" t="s">
        <v>8</v>
      </c>
      <c r="G537" s="46">
        <v>6.99</v>
      </c>
      <c r="H537" s="47" cm="1">
        <f t="array" ref="H537">ROUND(G537*IF(OR(MID(A537,5,3)={"BFF","PRK","FPL","LMB","FFI","MET","RIC","FLR","SUG","OIL","DRK","JCE","FEG"}),1.21,IF(OR(MID(A537,5,3)={"FVG","FFR"}),1.33,IF(OR(MID(A537,5,3)={"FBT","FCH","FMK","FYG","MLK","ICE","FRV","FPO","FRF","FCC","BRD"}),1.28,IF(OR(MID(A537,5,3)={"BIS","CRP","HRB","TUR","IND","HYG"}),1.38,1.31)))),2)</f>
        <v>9.16</v>
      </c>
      <c r="I537" s="27">
        <f>(Table1[[#This Row],[SALE PRICE]]-Table1[[#This Row],[COST PRICE]])/Table1[[#This Row],[SALE PRICE]]</f>
        <v>0.23689956331877729</v>
      </c>
      <c r="J537" s="27" t="str">
        <f>IF(Table1[[#This Row],[MARGIN]]&lt;25%, "REVIEW", "OK")</f>
        <v>REVIEW</v>
      </c>
    </row>
    <row r="538" spans="1:10" ht="15.6" x14ac:dyDescent="0.3">
      <c r="A538" s="18" t="s">
        <v>604</v>
      </c>
      <c r="B538" s="13" t="s">
        <v>605</v>
      </c>
      <c r="C538" s="13" t="s">
        <v>1429</v>
      </c>
      <c r="D538" s="11" t="s">
        <v>8</v>
      </c>
      <c r="E538" s="11" t="s">
        <v>8</v>
      </c>
      <c r="F538" s="13" t="s">
        <v>8</v>
      </c>
      <c r="G538" s="47">
        <v>12.99</v>
      </c>
      <c r="H538" s="46" cm="1">
        <f t="array" ref="H538">ROUND(G538*IF(OR(MID(A538,5,3)={"BFF","PRK","FPL","LMB","FFI","MET","RIC","FLR","SUG","OIL","DRK","JCE","FEG"}),1.21,IF(OR(MID(A538,5,3)={"FVG","FFR"}),1.33,IF(OR(MID(A538,5,3)={"FBT","FCH","FMK","FYG","MLK","ICE","FRV","FPO","FRF","FCC","BRD"}),1.28,IF(OR(MID(A538,5,3)={"BIS","CRP","HRB","TUR","IND","HYG"}),1.38,1.31)))),2)</f>
        <v>17.02</v>
      </c>
      <c r="I538" s="29">
        <f>(Table1[[#This Row],[SALE PRICE]]-Table1[[#This Row],[COST PRICE]])/Table1[[#This Row],[SALE PRICE]]</f>
        <v>0.23678025851938891</v>
      </c>
      <c r="J538" s="26" t="str">
        <f>IF(Table1[[#This Row],[MARGIN]]&lt;25%, "REVIEW", "OK")</f>
        <v>REVIEW</v>
      </c>
    </row>
    <row r="539" spans="1:10" ht="15.6" x14ac:dyDescent="0.3">
      <c r="A539" s="17" t="s">
        <v>606</v>
      </c>
      <c r="B539" s="12" t="s">
        <v>607</v>
      </c>
      <c r="C539" s="12" t="s">
        <v>1429</v>
      </c>
      <c r="D539" s="10" t="s">
        <v>8</v>
      </c>
      <c r="E539" s="10" t="s">
        <v>8</v>
      </c>
      <c r="F539" s="12" t="s">
        <v>8</v>
      </c>
      <c r="G539" s="46">
        <v>13.49</v>
      </c>
      <c r="H539" s="47" cm="1">
        <f t="array" ref="H539">ROUND(G539*IF(OR(MID(A539,5,3)={"BFF","PRK","FPL","LMB","FFI","MET","RIC","FLR","SUG","OIL","DRK","JCE","FEG"}),1.21,IF(OR(MID(A539,5,3)={"FVG","FFR"}),1.33,IF(OR(MID(A539,5,3)={"FBT","FCH","FMK","FYG","MLK","ICE","FRV","FPO","FRF","FCC","BRD"}),1.28,IF(OR(MID(A539,5,3)={"BIS","CRP","HRB","TUR","IND","HYG"}),1.38,1.31)))),2)</f>
        <v>17.670000000000002</v>
      </c>
      <c r="I539" s="27">
        <f>(Table1[[#This Row],[SALE PRICE]]-Table1[[#This Row],[COST PRICE]])/Table1[[#This Row],[SALE PRICE]]</f>
        <v>0.2365591397849463</v>
      </c>
      <c r="J539" s="27" t="str">
        <f>IF(Table1[[#This Row],[MARGIN]]&lt;25%, "REVIEW", "OK")</f>
        <v>REVIEW</v>
      </c>
    </row>
    <row r="540" spans="1:10" ht="15.6" x14ac:dyDescent="0.3">
      <c r="A540" s="18" t="s">
        <v>608</v>
      </c>
      <c r="B540" s="13" t="s">
        <v>609</v>
      </c>
      <c r="C540" s="13" t="s">
        <v>1429</v>
      </c>
      <c r="D540" s="11" t="s">
        <v>8</v>
      </c>
      <c r="E540" s="11" t="s">
        <v>8</v>
      </c>
      <c r="F540" s="13" t="s">
        <v>8</v>
      </c>
      <c r="G540" s="47">
        <v>9.99</v>
      </c>
      <c r="H540" s="46" cm="1">
        <f t="array" ref="H540">ROUND(G540*IF(OR(MID(A540,5,3)={"BFF","PRK","FPL","LMB","FFI","MET","RIC","FLR","SUG","OIL","DRK","JCE","FEG"}),1.21,IF(OR(MID(A540,5,3)={"FVG","FFR"}),1.33,IF(OR(MID(A540,5,3)={"FBT","FCH","FMK","FYG","MLK","ICE","FRV","FPO","FRF","FCC","BRD"}),1.28,IF(OR(MID(A540,5,3)={"BIS","CRP","HRB","TUR","IND","HYG"}),1.38,1.31)))),2)</f>
        <v>13.09</v>
      </c>
      <c r="I540" s="29">
        <f>(Table1[[#This Row],[SALE PRICE]]-Table1[[#This Row],[COST PRICE]])/Table1[[#This Row],[SALE PRICE]]</f>
        <v>0.23682200152788385</v>
      </c>
      <c r="J540" s="26" t="str">
        <f>IF(Table1[[#This Row],[MARGIN]]&lt;25%, "REVIEW", "OK")</f>
        <v>REVIEW</v>
      </c>
    </row>
    <row r="541" spans="1:10" ht="15.6" x14ac:dyDescent="0.3">
      <c r="A541" s="17" t="s">
        <v>610</v>
      </c>
      <c r="B541" s="12" t="s">
        <v>611</v>
      </c>
      <c r="C541" s="12" t="s">
        <v>1429</v>
      </c>
      <c r="D541" s="10" t="s">
        <v>8</v>
      </c>
      <c r="E541" s="10" t="s">
        <v>8</v>
      </c>
      <c r="F541" s="12" t="s">
        <v>8</v>
      </c>
      <c r="G541" s="46">
        <v>10.99</v>
      </c>
      <c r="H541" s="47" cm="1">
        <f t="array" ref="H541">ROUND(G541*IF(OR(MID(A541,5,3)={"BFF","PRK","FPL","LMB","FFI","MET","RIC","FLR","SUG","OIL","DRK","JCE","FEG"}),1.21,IF(OR(MID(A541,5,3)={"FVG","FFR"}),1.33,IF(OR(MID(A541,5,3)={"FBT","FCH","FMK","FYG","MLK","ICE","FRV","FPO","FRF","FCC","BRD"}),1.28,IF(OR(MID(A541,5,3)={"BIS","CRP","HRB","TUR","IND","HYG"}),1.38,1.31)))),2)</f>
        <v>14.4</v>
      </c>
      <c r="I541" s="27">
        <f>(Table1[[#This Row],[SALE PRICE]]-Table1[[#This Row],[COST PRICE]])/Table1[[#This Row],[SALE PRICE]]</f>
        <v>0.23680555555555555</v>
      </c>
      <c r="J541" s="27" t="str">
        <f>IF(Table1[[#This Row],[MARGIN]]&lt;25%, "REVIEW", "OK")</f>
        <v>REVIEW</v>
      </c>
    </row>
    <row r="542" spans="1:10" ht="15.6" x14ac:dyDescent="0.3">
      <c r="A542" s="18" t="s">
        <v>612</v>
      </c>
      <c r="B542" s="13" t="s">
        <v>613</v>
      </c>
      <c r="C542" s="13" t="s">
        <v>1429</v>
      </c>
      <c r="D542" s="11" t="s">
        <v>8</v>
      </c>
      <c r="E542" s="11" t="s">
        <v>8</v>
      </c>
      <c r="F542" s="13" t="s">
        <v>8</v>
      </c>
      <c r="G542" s="47">
        <v>8.99</v>
      </c>
      <c r="H542" s="46" cm="1">
        <f t="array" ref="H542">ROUND(G542*IF(OR(MID(A542,5,3)={"BFF","PRK","FPL","LMB","FFI","MET","RIC","FLR","SUG","OIL","DRK","JCE","FEG"}),1.21,IF(OR(MID(A542,5,3)={"FVG","FFR"}),1.33,IF(OR(MID(A542,5,3)={"FBT","FCH","FMK","FYG","MLK","ICE","FRV","FPO","FRF","FCC","BRD"}),1.28,IF(OR(MID(A542,5,3)={"BIS","CRP","HRB","TUR","IND","HYG"}),1.38,1.31)))),2)</f>
        <v>11.78</v>
      </c>
      <c r="I542" s="29">
        <f>(Table1[[#This Row],[SALE PRICE]]-Table1[[#This Row],[COST PRICE]])/Table1[[#This Row],[SALE PRICE]]</f>
        <v>0.23684210526315783</v>
      </c>
      <c r="J542" s="26" t="str">
        <f>IF(Table1[[#This Row],[MARGIN]]&lt;25%, "REVIEW", "OK")</f>
        <v>REVIEW</v>
      </c>
    </row>
    <row r="543" spans="1:10" ht="15.6" x14ac:dyDescent="0.3">
      <c r="A543" s="17" t="s">
        <v>614</v>
      </c>
      <c r="B543" s="12" t="s">
        <v>615</v>
      </c>
      <c r="C543" s="12" t="s">
        <v>1429</v>
      </c>
      <c r="D543" s="10" t="s">
        <v>8</v>
      </c>
      <c r="E543" s="10" t="s">
        <v>8</v>
      </c>
      <c r="F543" s="12" t="s">
        <v>8</v>
      </c>
      <c r="G543" s="46">
        <v>12.99</v>
      </c>
      <c r="H543" s="47" cm="1">
        <f t="array" ref="H543">ROUND(G543*IF(OR(MID(A543,5,3)={"BFF","PRK","FPL","LMB","FFI","MET","RIC","FLR","SUG","OIL","DRK","JCE","FEG"}),1.21,IF(OR(MID(A543,5,3)={"FVG","FFR"}),1.33,IF(OR(MID(A543,5,3)={"FBT","FCH","FMK","FYG","MLK","ICE","FRV","FPO","FRF","FCC","BRD"}),1.28,IF(OR(MID(A543,5,3)={"BIS","CRP","HRB","TUR","IND","HYG"}),1.38,1.31)))),2)</f>
        <v>17.02</v>
      </c>
      <c r="I543" s="27">
        <f>(Table1[[#This Row],[SALE PRICE]]-Table1[[#This Row],[COST PRICE]])/Table1[[#This Row],[SALE PRICE]]</f>
        <v>0.23678025851938891</v>
      </c>
      <c r="J543" s="27" t="str">
        <f>IF(Table1[[#This Row],[MARGIN]]&lt;25%, "REVIEW", "OK")</f>
        <v>REVIEW</v>
      </c>
    </row>
    <row r="544" spans="1:10" ht="15.6" x14ac:dyDescent="0.3">
      <c r="A544" s="18" t="s">
        <v>616</v>
      </c>
      <c r="B544" s="13" t="s">
        <v>617</v>
      </c>
      <c r="C544" s="13" t="s">
        <v>1430</v>
      </c>
      <c r="D544" s="11" t="s">
        <v>8</v>
      </c>
      <c r="E544" s="11" t="s">
        <v>8</v>
      </c>
      <c r="F544" s="13" t="s">
        <v>8</v>
      </c>
      <c r="G544" s="47">
        <v>7.29</v>
      </c>
      <c r="H544" s="46" cm="1">
        <f t="array" ref="H544">ROUND(G544*IF(OR(MID(A544,5,3)={"BFF","PRK","FPL","LMB","FFI","MET","RIC","FLR","SUG","OIL","DRK","JCE","FEG"}),1.21,IF(OR(MID(A544,5,3)={"FVG","FFR"}),1.33,IF(OR(MID(A544,5,3)={"FBT","FCH","FMK","FYG","MLK","ICE","FRV","FPO","FRF","FCC","BRD"}),1.28,IF(OR(MID(A544,5,3)={"BIS","CRP","HRB","TUR","IND","HYG"}),1.38,1.31)))),2)</f>
        <v>9.5500000000000007</v>
      </c>
      <c r="I544" s="29">
        <f>(Table1[[#This Row],[SALE PRICE]]-Table1[[#This Row],[COST PRICE]])/Table1[[#This Row],[SALE PRICE]]</f>
        <v>0.23664921465968591</v>
      </c>
      <c r="J544" s="26" t="str">
        <f>IF(Table1[[#This Row],[MARGIN]]&lt;25%, "REVIEW", "OK")</f>
        <v>REVIEW</v>
      </c>
    </row>
    <row r="545" spans="1:10" ht="15.6" x14ac:dyDescent="0.3">
      <c r="A545" s="17" t="s">
        <v>618</v>
      </c>
      <c r="B545" s="12" t="s">
        <v>619</v>
      </c>
      <c r="C545" s="12" t="s">
        <v>1430</v>
      </c>
      <c r="D545" s="10" t="s">
        <v>8</v>
      </c>
      <c r="E545" s="10" t="s">
        <v>8</v>
      </c>
      <c r="F545" s="12" t="s">
        <v>8</v>
      </c>
      <c r="G545" s="46">
        <v>15.99</v>
      </c>
      <c r="H545" s="47" cm="1">
        <f t="array" ref="H545">ROUND(G545*IF(OR(MID(A545,5,3)={"BFF","PRK","FPL","LMB","FFI","MET","RIC","FLR","SUG","OIL","DRK","JCE","FEG"}),1.21,IF(OR(MID(A545,5,3)={"FVG","FFR"}),1.33,IF(OR(MID(A545,5,3)={"FBT","FCH","FMK","FYG","MLK","ICE","FRV","FPO","FRF","FCC","BRD"}),1.28,IF(OR(MID(A545,5,3)={"BIS","CRP","HRB","TUR","IND","HYG"}),1.38,1.31)))),2)</f>
        <v>20.95</v>
      </c>
      <c r="I545" s="27">
        <f>(Table1[[#This Row],[SALE PRICE]]-Table1[[#This Row],[COST PRICE]])/Table1[[#This Row],[SALE PRICE]]</f>
        <v>0.23675417661097847</v>
      </c>
      <c r="J545" s="27" t="str">
        <f>IF(Table1[[#This Row],[MARGIN]]&lt;25%, "REVIEW", "OK")</f>
        <v>REVIEW</v>
      </c>
    </row>
    <row r="546" spans="1:10" ht="15.6" x14ac:dyDescent="0.3">
      <c r="A546" s="18" t="s">
        <v>620</v>
      </c>
      <c r="B546" s="13" t="s">
        <v>621</v>
      </c>
      <c r="C546" s="13" t="s">
        <v>1429</v>
      </c>
      <c r="D546" s="11" t="s">
        <v>8</v>
      </c>
      <c r="E546" s="11" t="s">
        <v>8</v>
      </c>
      <c r="F546" s="13" t="s">
        <v>8</v>
      </c>
      <c r="G546" s="47">
        <v>31.99</v>
      </c>
      <c r="H546" s="46" cm="1">
        <f t="array" ref="H546">ROUND(G546*IF(OR(MID(A546,5,3)={"BFF","PRK","FPL","LMB","FFI","MET","RIC","FLR","SUG","OIL","DRK","JCE","FEG"}),1.21,IF(OR(MID(A546,5,3)={"FVG","FFR"}),1.33,IF(OR(MID(A546,5,3)={"FBT","FCH","FMK","FYG","MLK","ICE","FRV","FPO","FRF","FCC","BRD"}),1.28,IF(OR(MID(A546,5,3)={"BIS","CRP","HRB","TUR","IND","HYG"}),1.38,1.31)))),2)</f>
        <v>41.91</v>
      </c>
      <c r="I546" s="29">
        <f>(Table1[[#This Row],[SALE PRICE]]-Table1[[#This Row],[COST PRICE]])/Table1[[#This Row],[SALE PRICE]]</f>
        <v>0.23669768551658313</v>
      </c>
      <c r="J546" s="26" t="str">
        <f>IF(Table1[[#This Row],[MARGIN]]&lt;25%, "REVIEW", "OK")</f>
        <v>REVIEW</v>
      </c>
    </row>
    <row r="547" spans="1:10" ht="15.6" x14ac:dyDescent="0.3">
      <c r="A547" s="17" t="s">
        <v>622</v>
      </c>
      <c r="B547" s="12" t="s">
        <v>623</v>
      </c>
      <c r="C547" s="12" t="s">
        <v>1429</v>
      </c>
      <c r="D547" s="10" t="s">
        <v>8</v>
      </c>
      <c r="E547" s="10" t="s">
        <v>8</v>
      </c>
      <c r="F547" s="12" t="s">
        <v>8</v>
      </c>
      <c r="G547" s="46">
        <v>14.99</v>
      </c>
      <c r="H547" s="47" cm="1">
        <f t="array" ref="H547">ROUND(G547*IF(OR(MID(A547,5,3)={"BFF","PRK","FPL","LMB","FFI","MET","RIC","FLR","SUG","OIL","DRK","JCE","FEG"}),1.21,IF(OR(MID(A547,5,3)={"FVG","FFR"}),1.33,IF(OR(MID(A547,5,3)={"FBT","FCH","FMK","FYG","MLK","ICE","FRV","FPO","FRF","FCC","BRD"}),1.28,IF(OR(MID(A547,5,3)={"BIS","CRP","HRB","TUR","IND","HYG"}),1.38,1.31)))),2)</f>
        <v>19.64</v>
      </c>
      <c r="I547" s="27">
        <f>(Table1[[#This Row],[SALE PRICE]]-Table1[[#This Row],[COST PRICE]])/Table1[[#This Row],[SALE PRICE]]</f>
        <v>0.23676171079429736</v>
      </c>
      <c r="J547" s="27" t="str">
        <f>IF(Table1[[#This Row],[MARGIN]]&lt;25%, "REVIEW", "OK")</f>
        <v>REVIEW</v>
      </c>
    </row>
    <row r="548" spans="1:10" ht="15.6" x14ac:dyDescent="0.3">
      <c r="A548" s="18" t="s">
        <v>624</v>
      </c>
      <c r="B548" s="13" t="s">
        <v>625</v>
      </c>
      <c r="C548" s="13" t="s">
        <v>1430</v>
      </c>
      <c r="D548" s="11" t="s">
        <v>8</v>
      </c>
      <c r="E548" s="11" t="s">
        <v>8</v>
      </c>
      <c r="F548" s="13" t="s">
        <v>8</v>
      </c>
      <c r="G548" s="47">
        <v>16.989999999999998</v>
      </c>
      <c r="H548" s="46" cm="1">
        <f t="array" ref="H548">ROUND(G548*IF(OR(MID(A548,5,3)={"BFF","PRK","FPL","LMB","FFI","MET","RIC","FLR","SUG","OIL","DRK","JCE","FEG"}),1.21,IF(OR(MID(A548,5,3)={"FVG","FFR"}),1.33,IF(OR(MID(A548,5,3)={"FBT","FCH","FMK","FYG","MLK","ICE","FRV","FPO","FRF","FCC","BRD"}),1.28,IF(OR(MID(A548,5,3)={"BIS","CRP","HRB","TUR","IND","HYG"}),1.38,1.31)))),2)</f>
        <v>22.26</v>
      </c>
      <c r="I548" s="29">
        <f>(Table1[[#This Row],[SALE PRICE]]-Table1[[#This Row],[COST PRICE]])/Table1[[#This Row],[SALE PRICE]]</f>
        <v>0.23674752920035952</v>
      </c>
      <c r="J548" s="26" t="str">
        <f>IF(Table1[[#This Row],[MARGIN]]&lt;25%, "REVIEW", "OK")</f>
        <v>REVIEW</v>
      </c>
    </row>
    <row r="549" spans="1:10" ht="15.6" x14ac:dyDescent="0.3">
      <c r="A549" s="18" t="s">
        <v>626</v>
      </c>
      <c r="B549" s="13" t="s">
        <v>1039</v>
      </c>
      <c r="C549" s="13" t="s">
        <v>1429</v>
      </c>
      <c r="D549" s="11"/>
      <c r="E549" s="11"/>
      <c r="F549" s="13"/>
      <c r="G549" s="47">
        <v>23.49</v>
      </c>
      <c r="H549" s="47" cm="1">
        <f t="array" ref="H549">ROUND(G549*IF(OR(MID(A549,5,3)={"BFF","PRK","FPL","LMB","FFI","MET","RIC","FLR","SUG","OIL","DRK","JCE","FEG"}),1.21,IF(OR(MID(A549,5,3)={"FVG","FFR"}),1.33,IF(OR(MID(A549,5,3)={"FBT","FCH","FMK","FYG","MLK","ICE","FRV","FPO","FRF","FCC","BRD"}),1.28,IF(OR(MID(A549,5,3)={"BIS","CRP","HRB","TUR","IND","HYG"}),1.38,1.31)))),2)</f>
        <v>30.77</v>
      </c>
      <c r="I549" s="27">
        <f>(Table1[[#This Row],[SALE PRICE]]-Table1[[#This Row],[COST PRICE]])/Table1[[#This Row],[SALE PRICE]]</f>
        <v>0.23659408514787134</v>
      </c>
      <c r="J549" s="27" t="str">
        <f>IF(Table1[[#This Row],[MARGIN]]&lt;25%, "REVIEW", "OK")</f>
        <v>REVIEW</v>
      </c>
    </row>
    <row r="550" spans="1:10" ht="15.6" x14ac:dyDescent="0.3">
      <c r="A550" s="18" t="s">
        <v>628</v>
      </c>
      <c r="B550" s="13" t="s">
        <v>1076</v>
      </c>
      <c r="C550" s="13" t="s">
        <v>1429</v>
      </c>
      <c r="D550" s="11"/>
      <c r="E550" s="11"/>
      <c r="F550" s="13"/>
      <c r="G550" s="47">
        <v>11.49</v>
      </c>
      <c r="H550" s="46" cm="1">
        <f t="array" ref="H550">ROUND(G550*IF(OR(MID(A550,5,3)={"BFF","PRK","FPL","LMB","FFI","MET","RIC","FLR","SUG","OIL","DRK","JCE","FEG"}),1.21,IF(OR(MID(A550,5,3)={"FVG","FFR"}),1.33,IF(OR(MID(A550,5,3)={"FBT","FCH","FMK","FYG","MLK","ICE","FRV","FPO","FRF","FCC","BRD"}),1.28,IF(OR(MID(A550,5,3)={"BIS","CRP","HRB","TUR","IND","HYG"}),1.38,1.31)))),2)</f>
        <v>15.05</v>
      </c>
      <c r="I550" s="29">
        <f>(Table1[[#This Row],[SALE PRICE]]-Table1[[#This Row],[COST PRICE]])/Table1[[#This Row],[SALE PRICE]]</f>
        <v>0.2365448504983389</v>
      </c>
      <c r="J550" s="26" t="str">
        <f>IF(Table1[[#This Row],[MARGIN]]&lt;25%, "REVIEW", "OK")</f>
        <v>REVIEW</v>
      </c>
    </row>
    <row r="551" spans="1:10" ht="15.6" x14ac:dyDescent="0.3">
      <c r="A551" s="18" t="s">
        <v>1040</v>
      </c>
      <c r="B551" s="13" t="s">
        <v>1077</v>
      </c>
      <c r="C551" s="13" t="s">
        <v>1429</v>
      </c>
      <c r="D551" s="11"/>
      <c r="E551" s="11"/>
      <c r="F551" s="13"/>
      <c r="G551" s="47">
        <v>15.99</v>
      </c>
      <c r="H551" s="47" cm="1">
        <f t="array" ref="H551">ROUND(G551*IF(OR(MID(A551,5,3)={"BFF","PRK","FPL","LMB","FFI","MET","RIC","FLR","SUG","OIL","DRK","JCE","FEG"}),1.21,IF(OR(MID(A551,5,3)={"FVG","FFR"}),1.33,IF(OR(MID(A551,5,3)={"FBT","FCH","FMK","FYG","MLK","ICE","FRV","FPO","FRF","FCC","BRD"}),1.28,IF(OR(MID(A551,5,3)={"BIS","CRP","HRB","TUR","IND","HYG"}),1.38,1.31)))),2)</f>
        <v>20.95</v>
      </c>
      <c r="I551" s="27">
        <f>(Table1[[#This Row],[SALE PRICE]]-Table1[[#This Row],[COST PRICE]])/Table1[[#This Row],[SALE PRICE]]</f>
        <v>0.23675417661097847</v>
      </c>
      <c r="J551" s="27" t="str">
        <f>IF(Table1[[#This Row],[MARGIN]]&lt;25%, "REVIEW", "OK")</f>
        <v>REVIEW</v>
      </c>
    </row>
    <row r="552" spans="1:10" ht="15.6" x14ac:dyDescent="0.3">
      <c r="A552" s="18" t="s">
        <v>1041</v>
      </c>
      <c r="B552" s="12" t="s">
        <v>627</v>
      </c>
      <c r="C552" s="12" t="s">
        <v>1427</v>
      </c>
      <c r="D552" s="10" t="s">
        <v>8</v>
      </c>
      <c r="E552" s="10" t="s">
        <v>8</v>
      </c>
      <c r="F552" s="12" t="s">
        <v>8</v>
      </c>
      <c r="G552" s="46">
        <v>7.09</v>
      </c>
      <c r="H552" s="46" cm="1">
        <f t="array" ref="H552">ROUND(G552*IF(OR(MID(A552,5,3)={"BFF","PRK","FPL","LMB","FFI","MET","RIC","FLR","SUG","OIL","DRK","JCE","FEG"}),1.21,IF(OR(MID(A552,5,3)={"FVG","FFR"}),1.33,IF(OR(MID(A552,5,3)={"FBT","FCH","FMK","FYG","MLK","ICE","FRV","FPO","FRF","FCC","BRD"}),1.28,IF(OR(MID(A552,5,3)={"BIS","CRP","HRB","TUR","IND","HYG"}),1.38,1.31)))),2)</f>
        <v>9.2899999999999991</v>
      </c>
      <c r="I552" s="29">
        <f>(Table1[[#This Row],[SALE PRICE]]-Table1[[#This Row],[COST PRICE]])/Table1[[#This Row],[SALE PRICE]]</f>
        <v>0.23681377825618941</v>
      </c>
      <c r="J552" s="26" t="str">
        <f>IF(Table1[[#This Row],[MARGIN]]&lt;25%, "REVIEW", "OK")</f>
        <v>REVIEW</v>
      </c>
    </row>
    <row r="553" spans="1:10" ht="15.6" x14ac:dyDescent="0.3">
      <c r="A553" s="18" t="s">
        <v>1042</v>
      </c>
      <c r="B553" s="13" t="s">
        <v>629</v>
      </c>
      <c r="C553" s="13" t="s">
        <v>1434</v>
      </c>
      <c r="D553" s="11" t="s">
        <v>8</v>
      </c>
      <c r="E553" s="11" t="s">
        <v>8</v>
      </c>
      <c r="F553" s="13" t="s">
        <v>8</v>
      </c>
      <c r="G553" s="47">
        <v>7.99</v>
      </c>
      <c r="H553" s="47" cm="1">
        <f t="array" ref="H553">ROUND(G553*IF(OR(MID(A553,5,3)={"BFF","PRK","FPL","LMB","FFI","MET","RIC","FLR","SUG","OIL","DRK","JCE","FEG"}),1.21,IF(OR(MID(A553,5,3)={"FVG","FFR"}),1.33,IF(OR(MID(A553,5,3)={"FBT","FCH","FMK","FYG","MLK","ICE","FRV","FPO","FRF","FCC","BRD"}),1.28,IF(OR(MID(A553,5,3)={"BIS","CRP","HRB","TUR","IND","HYG"}),1.38,1.31)))),2)</f>
        <v>10.47</v>
      </c>
      <c r="I553" s="27">
        <f>(Table1[[#This Row],[SALE PRICE]]-Table1[[#This Row],[COST PRICE]])/Table1[[#This Row],[SALE PRICE]]</f>
        <v>0.23686723973256926</v>
      </c>
      <c r="J553" s="27" t="str">
        <f>IF(Table1[[#This Row],[MARGIN]]&lt;25%, "REVIEW", "OK")</f>
        <v>REVIEW</v>
      </c>
    </row>
    <row r="554" spans="1:10" s="1" customFormat="1" ht="31.2" x14ac:dyDescent="0.3">
      <c r="A554" s="16" t="s">
        <v>1394</v>
      </c>
      <c r="B554" s="2" t="s">
        <v>8</v>
      </c>
      <c r="C554" s="2"/>
      <c r="D554" s="2" t="s">
        <v>8</v>
      </c>
      <c r="E554" s="2" t="s">
        <v>8</v>
      </c>
      <c r="F554" s="2" t="s">
        <v>8</v>
      </c>
      <c r="G554" s="48" t="s">
        <v>8</v>
      </c>
      <c r="H554" s="48" t="e" cm="1">
        <f t="array" ref="H554">ROUND(G554*IF(OR(MID(A554,5,3)={"BFF","PRK","FPL","LMB","FFI","MET","RIC","FLR","SUG","OIL","DRK","JCE","FEG"}),1.21,IF(OR(MID(A554,5,3)={"FVG","FFR"}),1.33,IF(OR(MID(A554,5,3)={"FBT","FCH","FMK","FYG","MLK","ICE","FRV","FPO","FRF","FCC","BRD"}),1.28,IF(OR(MID(A554,5,3)={"BIS","CRP","HRB","TUR","IND","HYG"}),1.38,1.31)))),2)</f>
        <v>#VALUE!</v>
      </c>
      <c r="I554" s="19"/>
      <c r="J554" s="19"/>
    </row>
    <row r="555" spans="1:10" ht="15.6" x14ac:dyDescent="0.3">
      <c r="A555" s="17" t="s">
        <v>1395</v>
      </c>
      <c r="B555" s="12" t="s">
        <v>1417</v>
      </c>
      <c r="C555" s="12" t="s">
        <v>1429</v>
      </c>
      <c r="D555" s="10" t="s">
        <v>8</v>
      </c>
      <c r="E555" s="10" t="s">
        <v>8</v>
      </c>
      <c r="F555" s="12" t="s">
        <v>8</v>
      </c>
      <c r="G555" s="46">
        <v>2.5</v>
      </c>
      <c r="H555" s="47" cm="1">
        <f t="array" ref="H555">ROUND(G555*IF(OR(MID(A555,5,3)={"BFF","PRK","FPL","LMB","FFI","MET","RIC","FLR","SUG","OIL","DRK","JCE","FEG"}),1.21,IF(OR(MID(A555,5,3)={"FVG","FFR"}),1.33,IF(OR(MID(A555,5,3)={"FBT","FCH","FMK","FYG","MLK","ICE","FRV","FPO","FRF","FCC","BRD"}),1.28,IF(OR(MID(A555,5,3)={"BIS","CRP","HRB","TUR","IND","HYG"}),1.38,1.31)))),2)</f>
        <v>3.2</v>
      </c>
      <c r="I555" s="27">
        <f>(Table1[[#This Row],[SALE PRICE]]-Table1[[#This Row],[COST PRICE]])/Table1[[#This Row],[SALE PRICE]]</f>
        <v>0.21875000000000006</v>
      </c>
      <c r="J555" s="27" t="str">
        <f>IF(Table1[[#This Row],[MARGIN]]&lt;25%, "REVIEW", "OK")</f>
        <v>REVIEW</v>
      </c>
    </row>
    <row r="556" spans="1:10" ht="15.6" x14ac:dyDescent="0.3">
      <c r="A556" s="17" t="s">
        <v>1396</v>
      </c>
      <c r="B556" s="13" t="s">
        <v>1416</v>
      </c>
      <c r="C556" s="13" t="s">
        <v>1429</v>
      </c>
      <c r="D556" s="11" t="s">
        <v>8</v>
      </c>
      <c r="E556" s="11" t="s">
        <v>8</v>
      </c>
      <c r="F556" s="13" t="s">
        <v>8</v>
      </c>
      <c r="G556" s="47">
        <v>2.5</v>
      </c>
      <c r="H556" s="46" cm="1">
        <f t="array" ref="H556">ROUND(G556*IF(OR(MID(A556,5,3)={"BFF","PRK","FPL","LMB","FFI","MET","RIC","FLR","SUG","OIL","DRK","JCE","FEG"}),1.21,IF(OR(MID(A556,5,3)={"FVG","FFR"}),1.33,IF(OR(MID(A556,5,3)={"FBT","FCH","FMK","FYG","MLK","ICE","FRV","FPO","FRF","FCC","BRD"}),1.28,IF(OR(MID(A556,5,3)={"BIS","CRP","HRB","TUR","IND","HYG"}),1.38,1.31)))),2)</f>
        <v>3.2</v>
      </c>
      <c r="I556" s="29">
        <f>(Table1[[#This Row],[SALE PRICE]]-Table1[[#This Row],[COST PRICE]])/Table1[[#This Row],[SALE PRICE]]</f>
        <v>0.21875000000000006</v>
      </c>
      <c r="J556" s="26" t="str">
        <f>IF(Table1[[#This Row],[MARGIN]]&lt;25%, "REVIEW", "OK")</f>
        <v>REVIEW</v>
      </c>
    </row>
    <row r="557" spans="1:10" ht="15.6" x14ac:dyDescent="0.3">
      <c r="A557" s="17" t="s">
        <v>1397</v>
      </c>
      <c r="B557" s="12" t="s">
        <v>1415</v>
      </c>
      <c r="C557" s="12" t="s">
        <v>1429</v>
      </c>
      <c r="D557" s="10" t="s">
        <v>8</v>
      </c>
      <c r="E557" s="10" t="s">
        <v>8</v>
      </c>
      <c r="F557" s="12" t="s">
        <v>8</v>
      </c>
      <c r="G557" s="46">
        <v>2.5</v>
      </c>
      <c r="H557" s="47" cm="1">
        <f t="array" ref="H557">ROUND(G557*IF(OR(MID(A557,5,3)={"BFF","PRK","FPL","LMB","FFI","MET","RIC","FLR","SUG","OIL","DRK","JCE","FEG"}),1.21,IF(OR(MID(A557,5,3)={"FVG","FFR"}),1.33,IF(OR(MID(A557,5,3)={"FBT","FCH","FMK","FYG","MLK","ICE","FRV","FPO","FRF","FCC","BRD"}),1.28,IF(OR(MID(A557,5,3)={"BIS","CRP","HRB","TUR","IND","HYG"}),1.38,1.31)))),2)</f>
        <v>3.2</v>
      </c>
      <c r="I557" s="27">
        <f>(Table1[[#This Row],[SALE PRICE]]-Table1[[#This Row],[COST PRICE]])/Table1[[#This Row],[SALE PRICE]]</f>
        <v>0.21875000000000006</v>
      </c>
      <c r="J557" s="27" t="str">
        <f>IF(Table1[[#This Row],[MARGIN]]&lt;25%, "REVIEW", "OK")</f>
        <v>REVIEW</v>
      </c>
    </row>
    <row r="558" spans="1:10" ht="15.6" x14ac:dyDescent="0.3">
      <c r="A558" s="17" t="s">
        <v>1398</v>
      </c>
      <c r="B558" s="13" t="s">
        <v>1418</v>
      </c>
      <c r="C558" s="13" t="s">
        <v>1429</v>
      </c>
      <c r="D558" s="11" t="s">
        <v>8</v>
      </c>
      <c r="E558" s="11" t="s">
        <v>8</v>
      </c>
      <c r="F558" s="13" t="s">
        <v>8</v>
      </c>
      <c r="G558" s="47">
        <v>2.5</v>
      </c>
      <c r="H558" s="46" cm="1">
        <f t="array" ref="H558">ROUND(G558*IF(OR(MID(A558,5,3)={"BFF","PRK","FPL","LMB","FFI","MET","RIC","FLR","SUG","OIL","DRK","JCE","FEG"}),1.21,IF(OR(MID(A558,5,3)={"FVG","FFR"}),1.33,IF(OR(MID(A558,5,3)={"FBT","FCH","FMK","FYG","MLK","ICE","FRV","FPO","FRF","FCC","BRD"}),1.28,IF(OR(MID(A558,5,3)={"BIS","CRP","HRB","TUR","IND","HYG"}),1.38,1.31)))),2)</f>
        <v>3.2</v>
      </c>
      <c r="I558" s="29">
        <f>(Table1[[#This Row],[SALE PRICE]]-Table1[[#This Row],[COST PRICE]])/Table1[[#This Row],[SALE PRICE]]</f>
        <v>0.21875000000000006</v>
      </c>
      <c r="J558" s="26" t="str">
        <f>IF(Table1[[#This Row],[MARGIN]]&lt;25%, "REVIEW", "OK")</f>
        <v>REVIEW</v>
      </c>
    </row>
    <row r="559" spans="1:10" ht="15.6" x14ac:dyDescent="0.3">
      <c r="A559" s="17" t="s">
        <v>1399</v>
      </c>
      <c r="B559" s="12" t="s">
        <v>1419</v>
      </c>
      <c r="C559" s="12" t="s">
        <v>1429</v>
      </c>
      <c r="D559" s="10" t="s">
        <v>8</v>
      </c>
      <c r="E559" s="10" t="s">
        <v>8</v>
      </c>
      <c r="F559" s="12" t="s">
        <v>8</v>
      </c>
      <c r="G559" s="46">
        <v>2.5</v>
      </c>
      <c r="H559" s="47" cm="1">
        <f t="array" ref="H559">ROUND(G559*IF(OR(MID(A559,5,3)={"BFF","PRK","FPL","LMB","FFI","MET","RIC","FLR","SUG","OIL","DRK","JCE","FEG"}),1.21,IF(OR(MID(A559,5,3)={"FVG","FFR"}),1.33,IF(OR(MID(A559,5,3)={"FBT","FCH","FMK","FYG","MLK","ICE","FRV","FPO","FRF","FCC","BRD"}),1.28,IF(OR(MID(A559,5,3)={"BIS","CRP","HRB","TUR","IND","HYG"}),1.38,1.31)))),2)</f>
        <v>3.2</v>
      </c>
      <c r="I559" s="27">
        <f>(Table1[[#This Row],[SALE PRICE]]-Table1[[#This Row],[COST PRICE]])/Table1[[#This Row],[SALE PRICE]]</f>
        <v>0.21875000000000006</v>
      </c>
      <c r="J559" s="27" t="str">
        <f>IF(Table1[[#This Row],[MARGIN]]&lt;25%, "REVIEW", "OK")</f>
        <v>REVIEW</v>
      </c>
    </row>
    <row r="560" spans="1:10" ht="15.6" x14ac:dyDescent="0.3">
      <c r="A560" s="17" t="s">
        <v>1400</v>
      </c>
      <c r="B560" s="13" t="s">
        <v>1420</v>
      </c>
      <c r="C560" s="13" t="s">
        <v>1429</v>
      </c>
      <c r="D560" s="11" t="s">
        <v>8</v>
      </c>
      <c r="E560" s="11" t="s">
        <v>8</v>
      </c>
      <c r="F560" s="13" t="s">
        <v>8</v>
      </c>
      <c r="G560" s="47">
        <v>2.5</v>
      </c>
      <c r="H560" s="46" cm="1">
        <f t="array" ref="H560">ROUND(G560*IF(OR(MID(A560,5,3)={"BFF","PRK","FPL","LMB","FFI","MET","RIC","FLR","SUG","OIL","DRK","JCE","FEG"}),1.21,IF(OR(MID(A560,5,3)={"FVG","FFR"}),1.33,IF(OR(MID(A560,5,3)={"FBT","FCH","FMK","FYG","MLK","ICE","FRV","FPO","FRF","FCC","BRD"}),1.28,IF(OR(MID(A560,5,3)={"BIS","CRP","HRB","TUR","IND","HYG"}),1.38,1.31)))),2)</f>
        <v>3.2</v>
      </c>
      <c r="I560" s="29">
        <f>(Table1[[#This Row],[SALE PRICE]]-Table1[[#This Row],[COST PRICE]])/Table1[[#This Row],[SALE PRICE]]</f>
        <v>0.21875000000000006</v>
      </c>
      <c r="J560" s="26" t="str">
        <f>IF(Table1[[#This Row],[MARGIN]]&lt;25%, "REVIEW", "OK")</f>
        <v>REVIEW</v>
      </c>
    </row>
    <row r="561" spans="1:10" ht="15.6" x14ac:dyDescent="0.3">
      <c r="A561" s="17" t="s">
        <v>1401</v>
      </c>
      <c r="B561" s="12"/>
      <c r="C561" s="12"/>
      <c r="D561" s="10" t="s">
        <v>8</v>
      </c>
      <c r="E561" s="10" t="s">
        <v>8</v>
      </c>
      <c r="F561" s="12" t="s">
        <v>8</v>
      </c>
      <c r="G561" s="46"/>
      <c r="H561" s="47" cm="1">
        <f t="array" ref="H561">ROUND(G561*IF(OR(MID(A561,5,3)={"BFF","PRK","FPL","LMB","FFI","MET","RIC","FLR","SUG","OIL","DRK","JCE","FEG"}),1.21,IF(OR(MID(A561,5,3)={"FVG","FFR"}),1.33,IF(OR(MID(A561,5,3)={"FBT","FCH","FMK","FYG","MLK","ICE","FRV","FPO","FRF","FCC","BRD"}),1.28,IF(OR(MID(A561,5,3)={"BIS","CRP","HRB","TUR","IND","HYG"}),1.38,1.31)))),2)</f>
        <v>0</v>
      </c>
      <c r="I561" s="27"/>
      <c r="J561" s="27"/>
    </row>
    <row r="562" spans="1:10" ht="15.6" x14ac:dyDescent="0.3">
      <c r="A562" s="17" t="s">
        <v>1402</v>
      </c>
      <c r="B562" s="13"/>
      <c r="C562" s="13"/>
      <c r="D562" s="11" t="s">
        <v>8</v>
      </c>
      <c r="E562" s="11" t="s">
        <v>8</v>
      </c>
      <c r="F562" s="13" t="s">
        <v>8</v>
      </c>
      <c r="G562" s="47"/>
      <c r="H562" s="46" cm="1">
        <f t="array" ref="H562">ROUND(G562*IF(OR(MID(A562,5,3)={"BFF","PRK","FPL","LMB","FFI","MET","RIC","FLR","SUG","OIL","DRK","JCE","FEG"}),1.21,IF(OR(MID(A562,5,3)={"FVG","FFR"}),1.33,IF(OR(MID(A562,5,3)={"FBT","FCH","FMK","FYG","MLK","ICE","FRV","FPO","FRF","FCC","BRD"}),1.28,IF(OR(MID(A562,5,3)={"BIS","CRP","HRB","TUR","IND","HYG"}),1.38,1.31)))),2)</f>
        <v>0</v>
      </c>
      <c r="I562" s="29"/>
      <c r="J562" s="26"/>
    </row>
    <row r="563" spans="1:10" ht="15.6" x14ac:dyDescent="0.3">
      <c r="A563" s="17" t="s">
        <v>1403</v>
      </c>
      <c r="B563" s="12"/>
      <c r="C563" s="12"/>
      <c r="D563" s="10" t="s">
        <v>8</v>
      </c>
      <c r="E563" s="10" t="s">
        <v>8</v>
      </c>
      <c r="F563" s="12" t="s">
        <v>8</v>
      </c>
      <c r="G563" s="46"/>
      <c r="H563" s="47" cm="1">
        <f t="array" ref="H563">ROUND(G563*IF(OR(MID(A563,5,3)={"BFF","PRK","FPL","LMB","FFI","MET","RIC","FLR","SUG","OIL","DRK","JCE","FEG"}),1.21,IF(OR(MID(A563,5,3)={"FVG","FFR"}),1.33,IF(OR(MID(A563,5,3)={"FBT","FCH","FMK","FYG","MLK","ICE","FRV","FPO","FRF","FCC","BRD"}),1.28,IF(OR(MID(A563,5,3)={"BIS","CRP","HRB","TUR","IND","HYG"}),1.38,1.31)))),2)</f>
        <v>0</v>
      </c>
      <c r="I563" s="27"/>
      <c r="J563" s="27"/>
    </row>
    <row r="564" spans="1:10" ht="15.6" x14ac:dyDescent="0.3">
      <c r="A564" s="17" t="s">
        <v>1404</v>
      </c>
      <c r="B564" s="13"/>
      <c r="C564" s="13"/>
      <c r="D564" s="11" t="s">
        <v>8</v>
      </c>
      <c r="E564" s="11" t="s">
        <v>8</v>
      </c>
      <c r="F564" s="13" t="s">
        <v>8</v>
      </c>
      <c r="G564" s="47"/>
      <c r="H564" s="46" cm="1">
        <f t="array" ref="H564">ROUND(G564*IF(OR(MID(A564,5,3)={"BFF","PRK","FPL","LMB","FFI","MET","RIC","FLR","SUG","OIL","DRK","JCE","FEG"}),1.21,IF(OR(MID(A564,5,3)={"FVG","FFR"}),1.33,IF(OR(MID(A564,5,3)={"FBT","FCH","FMK","FYG","MLK","ICE","FRV","FPO","FRF","FCC","BRD"}),1.28,IF(OR(MID(A564,5,3)={"BIS","CRP","HRB","TUR","IND","HYG"}),1.38,1.31)))),2)</f>
        <v>0</v>
      </c>
      <c r="I564" s="29"/>
      <c r="J564" s="26"/>
    </row>
    <row r="565" spans="1:10" s="1" customFormat="1" ht="31.2" x14ac:dyDescent="0.3">
      <c r="A565" s="16" t="s">
        <v>630</v>
      </c>
      <c r="B565" s="2" t="s">
        <v>8</v>
      </c>
      <c r="C565" s="2"/>
      <c r="D565" s="2" t="s">
        <v>8</v>
      </c>
      <c r="E565" s="2" t="s">
        <v>8</v>
      </c>
      <c r="F565" s="2" t="s">
        <v>8</v>
      </c>
      <c r="G565" s="48" t="s">
        <v>8</v>
      </c>
      <c r="H565" s="48" t="e" cm="1">
        <f t="array" ref="H565">ROUND(G565*IF(OR(MID(A565,5,3)={"BFF","PRK","FPL","LMB","FFI","MET","RIC","FLR","SUG","OIL","DRK","JCE","FEG"}),1.21,IF(OR(MID(A565,5,3)={"FVG","FFR"}),1.33,IF(OR(MID(A565,5,3)={"FBT","FCH","FMK","FYG","MLK","ICE","FRV","FPO","FRF","FCC","BRD"}),1.28,IF(OR(MID(A565,5,3)={"BIS","CRP","HRB","TUR","IND","HYG"}),1.38,1.31)))),2)</f>
        <v>#VALUE!</v>
      </c>
      <c r="I565" s="19"/>
      <c r="J565" s="19"/>
    </row>
    <row r="566" spans="1:10" ht="15.6" x14ac:dyDescent="0.3">
      <c r="A566" s="17" t="s">
        <v>1405</v>
      </c>
      <c r="B566" s="12" t="s">
        <v>1071</v>
      </c>
      <c r="C566" s="12" t="s">
        <v>1429</v>
      </c>
      <c r="D566" s="10" t="s">
        <v>8</v>
      </c>
      <c r="E566" s="10" t="s">
        <v>8</v>
      </c>
      <c r="F566" s="12" t="s">
        <v>8</v>
      </c>
      <c r="G566" s="46">
        <v>6.49</v>
      </c>
      <c r="H566" s="46" cm="1">
        <f t="array" ref="H566">ROUND(G566*IF(OR(MID(A566,5,3)={"BFF","PRK","FPL","LMB","FFI","MET","RIC","FLR","SUG","OIL","DRK","JCE","FEG"}),1.21,IF(OR(MID(A566,5,3)={"FVG","FFR"}),1.33,IF(OR(MID(A566,5,3)={"FBT","FCH","FMK","FYG","MLK","ICE","FRV","FPO","FRF","FCC","BRD"}),1.28,IF(OR(MID(A566,5,3)={"BIS","CRP","HRB","TUR","IND","HYG"}),1.38,1.31)))),2)</f>
        <v>8.31</v>
      </c>
      <c r="I566" s="29">
        <f>(Table1[[#This Row],[SALE PRICE]]-Table1[[#This Row],[COST PRICE]])/Table1[[#This Row],[SALE PRICE]]</f>
        <v>0.21901323706377859</v>
      </c>
      <c r="J566" s="26" t="str">
        <f>IF(Table1[[#This Row],[MARGIN]]&lt;25%, "REVIEW", "OK")</f>
        <v>REVIEW</v>
      </c>
    </row>
    <row r="567" spans="1:10" ht="15.6" x14ac:dyDescent="0.3">
      <c r="A567" s="17" t="s">
        <v>1406</v>
      </c>
      <c r="B567" s="13" t="s">
        <v>1072</v>
      </c>
      <c r="C567" s="13" t="s">
        <v>1429</v>
      </c>
      <c r="D567" s="11" t="s">
        <v>8</v>
      </c>
      <c r="E567" s="11" t="s">
        <v>8</v>
      </c>
      <c r="F567" s="13" t="s">
        <v>8</v>
      </c>
      <c r="G567" s="47">
        <v>4.6500000000000004</v>
      </c>
      <c r="H567" s="47" cm="1">
        <f t="array" ref="H567">ROUND(G567*IF(OR(MID(A567,5,3)={"BFF","PRK","FPL","LMB","FFI","MET","RIC","FLR","SUG","OIL","DRK","JCE","FEG"}),1.21,IF(OR(MID(A567,5,3)={"FVG","FFR"}),1.33,IF(OR(MID(A567,5,3)={"FBT","FCH","FMK","FYG","MLK","ICE","FRV","FPO","FRF","FCC","BRD"}),1.28,IF(OR(MID(A567,5,3)={"BIS","CRP","HRB","TUR","IND","HYG"}),1.38,1.31)))),2)</f>
        <v>5.95</v>
      </c>
      <c r="I567" s="27">
        <f>(Table1[[#This Row],[SALE PRICE]]-Table1[[#This Row],[COST PRICE]])/Table1[[#This Row],[SALE PRICE]]</f>
        <v>0.21848739495798317</v>
      </c>
      <c r="J567" s="27" t="str">
        <f>IF(Table1[[#This Row],[MARGIN]]&lt;25%, "REVIEW", "OK")</f>
        <v>REVIEW</v>
      </c>
    </row>
    <row r="568" spans="1:10" ht="15.6" x14ac:dyDescent="0.3">
      <c r="A568" s="17" t="s">
        <v>1407</v>
      </c>
      <c r="B568" s="12" t="s">
        <v>1073</v>
      </c>
      <c r="C568" s="12" t="s">
        <v>1429</v>
      </c>
      <c r="D568" s="10" t="s">
        <v>8</v>
      </c>
      <c r="E568" s="10" t="s">
        <v>8</v>
      </c>
      <c r="F568" s="12" t="s">
        <v>8</v>
      </c>
      <c r="G568" s="46">
        <v>3.49</v>
      </c>
      <c r="H568" s="46" cm="1">
        <f t="array" ref="H568">ROUND(G568*IF(OR(MID(A568,5,3)={"BFF","PRK","FPL","LMB","FFI","MET","RIC","FLR","SUG","OIL","DRK","JCE","FEG"}),1.21,IF(OR(MID(A568,5,3)={"FVG","FFR"}),1.33,IF(OR(MID(A568,5,3)={"FBT","FCH","FMK","FYG","MLK","ICE","FRV","FPO","FRF","FCC","BRD"}),1.28,IF(OR(MID(A568,5,3)={"BIS","CRP","HRB","TUR","IND","HYG"}),1.38,1.31)))),2)</f>
        <v>4.47</v>
      </c>
      <c r="I568" s="29">
        <f>(Table1[[#This Row],[SALE PRICE]]-Table1[[#This Row],[COST PRICE]])/Table1[[#This Row],[SALE PRICE]]</f>
        <v>0.21923937360178961</v>
      </c>
      <c r="J568" s="26" t="str">
        <f>IF(Table1[[#This Row],[MARGIN]]&lt;25%, "REVIEW", "OK")</f>
        <v>REVIEW</v>
      </c>
    </row>
    <row r="569" spans="1:10" ht="15.6" x14ac:dyDescent="0.3">
      <c r="A569" s="17" t="s">
        <v>1408</v>
      </c>
      <c r="B569" s="13" t="s">
        <v>1074</v>
      </c>
      <c r="C569" s="13" t="s">
        <v>1429</v>
      </c>
      <c r="D569" s="11" t="s">
        <v>8</v>
      </c>
      <c r="E569" s="11" t="s">
        <v>8</v>
      </c>
      <c r="F569" s="13" t="s">
        <v>8</v>
      </c>
      <c r="G569" s="47">
        <v>8.39</v>
      </c>
      <c r="H569" s="47" cm="1">
        <f t="array" ref="H569">ROUND(G569*IF(OR(MID(A569,5,3)={"BFF","PRK","FPL","LMB","FFI","MET","RIC","FLR","SUG","OIL","DRK","JCE","FEG"}),1.21,IF(OR(MID(A569,5,3)={"FVG","FFR"}),1.33,IF(OR(MID(A569,5,3)={"FBT","FCH","FMK","FYG","MLK","ICE","FRV","FPO","FRF","FCC","BRD"}),1.28,IF(OR(MID(A569,5,3)={"BIS","CRP","HRB","TUR","IND","HYG"}),1.38,1.31)))),2)</f>
        <v>10.74</v>
      </c>
      <c r="I569" s="27">
        <f>(Table1[[#This Row],[SALE PRICE]]-Table1[[#This Row],[COST PRICE]])/Table1[[#This Row],[SALE PRICE]]</f>
        <v>0.21880819366852883</v>
      </c>
      <c r="J569" s="27" t="str">
        <f>IF(Table1[[#This Row],[MARGIN]]&lt;25%, "REVIEW", "OK")</f>
        <v>REVIEW</v>
      </c>
    </row>
    <row r="570" spans="1:10" ht="15.6" x14ac:dyDescent="0.3">
      <c r="A570" s="17" t="s">
        <v>1409</v>
      </c>
      <c r="B570" s="12" t="s">
        <v>1075</v>
      </c>
      <c r="C570" s="12" t="s">
        <v>1429</v>
      </c>
      <c r="D570" s="10" t="s">
        <v>8</v>
      </c>
      <c r="E570" s="10" t="s">
        <v>8</v>
      </c>
      <c r="F570" s="12" t="s">
        <v>8</v>
      </c>
      <c r="G570" s="46">
        <v>6.29</v>
      </c>
      <c r="H570" s="46" cm="1">
        <f t="array" ref="H570">ROUND(G570*IF(OR(MID(A570,5,3)={"BFF","PRK","FPL","LMB","FFI","MET","RIC","FLR","SUG","OIL","DRK","JCE","FEG"}),1.21,IF(OR(MID(A570,5,3)={"FVG","FFR"}),1.33,IF(OR(MID(A570,5,3)={"FBT","FCH","FMK","FYG","MLK","ICE","FRV","FPO","FRF","FCC","BRD"}),1.28,IF(OR(MID(A570,5,3)={"BIS","CRP","HRB","TUR","IND","HYG"}),1.38,1.31)))),2)</f>
        <v>8.0500000000000007</v>
      </c>
      <c r="I570" s="29">
        <f>(Table1[[#This Row],[SALE PRICE]]-Table1[[#This Row],[COST PRICE]])/Table1[[#This Row],[SALE PRICE]]</f>
        <v>0.21863354037267088</v>
      </c>
      <c r="J570" s="26" t="str">
        <f>IF(Table1[[#This Row],[MARGIN]]&lt;25%, "REVIEW", "OK")</f>
        <v>REVIEW</v>
      </c>
    </row>
    <row r="571" spans="1:10" ht="15.6" x14ac:dyDescent="0.3">
      <c r="A571" s="17" t="s">
        <v>1410</v>
      </c>
      <c r="B571" s="13" t="s">
        <v>1066</v>
      </c>
      <c r="C571" s="13" t="s">
        <v>1429</v>
      </c>
      <c r="D571" s="11" t="s">
        <v>8</v>
      </c>
      <c r="E571" s="11" t="s">
        <v>8</v>
      </c>
      <c r="F571" s="13" t="s">
        <v>8</v>
      </c>
      <c r="G571" s="47">
        <v>2.99</v>
      </c>
      <c r="H571" s="47" cm="1">
        <f t="array" ref="H571">ROUND(G571*IF(OR(MID(A571,5,3)={"BFF","PRK","FPL","LMB","FFI","MET","RIC","FLR","SUG","OIL","DRK","JCE","FEG"}),1.21,IF(OR(MID(A571,5,3)={"FVG","FFR"}),1.33,IF(OR(MID(A571,5,3)={"FBT","FCH","FMK","FYG","MLK","ICE","FRV","FPO","FRF","FCC","BRD"}),1.28,IF(OR(MID(A571,5,3)={"BIS","CRP","HRB","TUR","IND","HYG"}),1.38,1.31)))),2)</f>
        <v>3.83</v>
      </c>
      <c r="I571" s="27">
        <f>(Table1[[#This Row],[SALE PRICE]]-Table1[[#This Row],[COST PRICE]])/Table1[[#This Row],[SALE PRICE]]</f>
        <v>0.21932114882506523</v>
      </c>
      <c r="J571" s="27" t="str">
        <f>IF(Table1[[#This Row],[MARGIN]]&lt;25%, "REVIEW", "OK")</f>
        <v>REVIEW</v>
      </c>
    </row>
    <row r="572" spans="1:10" ht="15.6" x14ac:dyDescent="0.3">
      <c r="A572" s="17" t="s">
        <v>1411</v>
      </c>
      <c r="B572" s="12" t="s">
        <v>1067</v>
      </c>
      <c r="C572" s="12" t="s">
        <v>1429</v>
      </c>
      <c r="D572" s="10" t="s">
        <v>8</v>
      </c>
      <c r="E572" s="10" t="s">
        <v>8</v>
      </c>
      <c r="F572" s="12" t="s">
        <v>8</v>
      </c>
      <c r="G572" s="46">
        <v>8.39</v>
      </c>
      <c r="H572" s="46" cm="1">
        <f t="array" ref="H572">ROUND(G572*IF(OR(MID(A572,5,3)={"BFF","PRK","FPL","LMB","FFI","MET","RIC","FLR","SUG","OIL","DRK","JCE","FEG"}),1.21,IF(OR(MID(A572,5,3)={"FVG","FFR"}),1.33,IF(OR(MID(A572,5,3)={"FBT","FCH","FMK","FYG","MLK","ICE","FRV","FPO","FRF","FCC","BRD"}),1.28,IF(OR(MID(A572,5,3)={"BIS","CRP","HRB","TUR","IND","HYG"}),1.38,1.31)))),2)</f>
        <v>10.74</v>
      </c>
      <c r="I572" s="29">
        <f>(Table1[[#This Row],[SALE PRICE]]-Table1[[#This Row],[COST PRICE]])/Table1[[#This Row],[SALE PRICE]]</f>
        <v>0.21880819366852883</v>
      </c>
      <c r="J572" s="26" t="str">
        <f>IF(Table1[[#This Row],[MARGIN]]&lt;25%, "REVIEW", "OK")</f>
        <v>REVIEW</v>
      </c>
    </row>
    <row r="573" spans="1:10" ht="15.6" x14ac:dyDescent="0.3">
      <c r="A573" s="17" t="s">
        <v>1412</v>
      </c>
      <c r="B573" s="13" t="s">
        <v>1068</v>
      </c>
      <c r="C573" s="13" t="s">
        <v>1429</v>
      </c>
      <c r="D573" s="11" t="s">
        <v>8</v>
      </c>
      <c r="E573" s="11" t="s">
        <v>8</v>
      </c>
      <c r="F573" s="13" t="s">
        <v>8</v>
      </c>
      <c r="G573" s="47">
        <v>6.19</v>
      </c>
      <c r="H573" s="47" cm="1">
        <f t="array" ref="H573">ROUND(G573*IF(OR(MID(A573,5,3)={"BFF","PRK","FPL","LMB","FFI","MET","RIC","FLR","SUG","OIL","DRK","JCE","FEG"}),1.21,IF(OR(MID(A573,5,3)={"FVG","FFR"}),1.33,IF(OR(MID(A573,5,3)={"FBT","FCH","FMK","FYG","MLK","ICE","FRV","FPO","FRF","FCC","BRD"}),1.28,IF(OR(MID(A573,5,3)={"BIS","CRP","HRB","TUR","IND","HYG"}),1.38,1.31)))),2)</f>
        <v>7.92</v>
      </c>
      <c r="I573" s="27">
        <f>(Table1[[#This Row],[SALE PRICE]]-Table1[[#This Row],[COST PRICE]])/Table1[[#This Row],[SALE PRICE]]</f>
        <v>0.21843434343434337</v>
      </c>
      <c r="J573" s="27" t="str">
        <f>IF(Table1[[#This Row],[MARGIN]]&lt;25%, "REVIEW", "OK")</f>
        <v>REVIEW</v>
      </c>
    </row>
    <row r="574" spans="1:10" ht="15.6" x14ac:dyDescent="0.3">
      <c r="A574" s="17" t="s">
        <v>1413</v>
      </c>
      <c r="B574" s="12" t="s">
        <v>1069</v>
      </c>
      <c r="C574" s="12" t="s">
        <v>1429</v>
      </c>
      <c r="D574" s="10" t="s">
        <v>8</v>
      </c>
      <c r="E574" s="10" t="s">
        <v>8</v>
      </c>
      <c r="F574" s="12" t="s">
        <v>8</v>
      </c>
      <c r="G574" s="46">
        <v>2.4900000000000002</v>
      </c>
      <c r="H574" s="46" cm="1">
        <f t="array" ref="H574">ROUND(G574*IF(OR(MID(A574,5,3)={"BFF","PRK","FPL","LMB","FFI","MET","RIC","FLR","SUG","OIL","DRK","JCE","FEG"}),1.21,IF(OR(MID(A574,5,3)={"FVG","FFR"}),1.33,IF(OR(MID(A574,5,3)={"FBT","FCH","FMK","FYG","MLK","ICE","FRV","FPO","FRF","FCC","BRD"}),1.28,IF(OR(MID(A574,5,3)={"BIS","CRP","HRB","TUR","IND","HYG"}),1.38,1.31)))),2)</f>
        <v>3.19</v>
      </c>
      <c r="I574" s="29">
        <f>(Table1[[#This Row],[SALE PRICE]]-Table1[[#This Row],[COST PRICE]])/Table1[[#This Row],[SALE PRICE]]</f>
        <v>0.21943573667711591</v>
      </c>
      <c r="J574" s="26" t="str">
        <f>IF(Table1[[#This Row],[MARGIN]]&lt;25%, "REVIEW", "OK")</f>
        <v>REVIEW</v>
      </c>
    </row>
    <row r="575" spans="1:10" ht="15.6" x14ac:dyDescent="0.3">
      <c r="A575" s="17" t="s">
        <v>1414</v>
      </c>
      <c r="B575" s="13" t="s">
        <v>1070</v>
      </c>
      <c r="C575" s="13" t="s">
        <v>1429</v>
      </c>
      <c r="D575" s="11" t="s">
        <v>8</v>
      </c>
      <c r="E575" s="11" t="s">
        <v>8</v>
      </c>
      <c r="F575" s="13" t="s">
        <v>8</v>
      </c>
      <c r="G575" s="47">
        <v>7.99</v>
      </c>
      <c r="H575" s="47" cm="1">
        <f t="array" ref="H575">ROUND(G575*IF(OR(MID(A575,5,3)={"BFF","PRK","FPL","LMB","FFI","MET","RIC","FLR","SUG","OIL","DRK","JCE","FEG"}),1.21,IF(OR(MID(A575,5,3)={"FVG","FFR"}),1.33,IF(OR(MID(A575,5,3)={"FBT","FCH","FMK","FYG","MLK","ICE","FRV","FPO","FRF","FCC","BRD"}),1.28,IF(OR(MID(A575,5,3)={"BIS","CRP","HRB","TUR","IND","HYG"}),1.38,1.31)))),2)</f>
        <v>10.23</v>
      </c>
      <c r="I575" s="27">
        <f>(Table1[[#This Row],[SALE PRICE]]-Table1[[#This Row],[COST PRICE]])/Table1[[#This Row],[SALE PRICE]]</f>
        <v>0.21896383186705767</v>
      </c>
      <c r="J575" s="27" t="str">
        <f>IF(Table1[[#This Row],[MARGIN]]&lt;25%, "REVIEW", "OK")</f>
        <v>REVIEW</v>
      </c>
    </row>
    <row r="576" spans="1:10" s="1" customFormat="1" ht="31.2" x14ac:dyDescent="0.3">
      <c r="A576" s="16" t="s">
        <v>632</v>
      </c>
      <c r="B576" s="2" t="s">
        <v>8</v>
      </c>
      <c r="C576" s="2"/>
      <c r="D576" s="2" t="s">
        <v>8</v>
      </c>
      <c r="E576" s="2" t="s">
        <v>8</v>
      </c>
      <c r="F576" s="2" t="s">
        <v>8</v>
      </c>
      <c r="G576" s="48" t="s">
        <v>8</v>
      </c>
      <c r="H576" s="48" t="e" cm="1">
        <f t="array" ref="H576">ROUND(G576*IF(OR(MID(A576,5,3)={"BFF","PRK","FPL","LMB","FFI","MET","RIC","FLR","SUG","OIL","DRK","JCE","FEG"}),1.21,IF(OR(MID(A576,5,3)={"FVG","FFR"}),1.33,IF(OR(MID(A576,5,3)={"FBT","FCH","FMK","FYG","MLK","ICE","FRV","FPO","FRF","FCC","BRD"}),1.28,IF(OR(MID(A576,5,3)={"BIS","CRP","HRB","TUR","IND","HYG"}),1.38,1.31)))),2)</f>
        <v>#VALUE!</v>
      </c>
      <c r="I576" s="19"/>
      <c r="J576" s="19"/>
    </row>
    <row r="577" spans="1:10" ht="15.6" x14ac:dyDescent="0.3">
      <c r="A577" s="17" t="s">
        <v>633</v>
      </c>
      <c r="B577" s="12" t="s">
        <v>634</v>
      </c>
      <c r="C577" s="12" t="s">
        <v>1427</v>
      </c>
      <c r="D577" s="10" t="s">
        <v>8</v>
      </c>
      <c r="E577" s="10" t="s">
        <v>8</v>
      </c>
      <c r="F577" s="12" t="s">
        <v>8</v>
      </c>
      <c r="G577" s="46">
        <v>12.99</v>
      </c>
      <c r="H577" s="47" cm="1">
        <f t="array" ref="H577">ROUND(G577*IF(OR(MID(A577,5,3)={"BFF","PRK","FPL","LMB","FFI","MET","RIC","FLR","SUG","OIL","DRK","JCE","FEG"}),1.21,IF(OR(MID(A577,5,3)={"FVG","FFR"}),1.33,IF(OR(MID(A577,5,3)={"FBT","FCH","FMK","FYG","MLK","ICE","FRV","FPO","FRF","FCC","BRD"}),1.28,IF(OR(MID(A577,5,3)={"BIS","CRP","HRB","TUR","IND","HYG"}),1.38,1.31)))),2)</f>
        <v>16.63</v>
      </c>
      <c r="I577" s="27">
        <f>(Table1[[#This Row],[SALE PRICE]]-Table1[[#This Row],[COST PRICE]])/Table1[[#This Row],[SALE PRICE]]</f>
        <v>0.21888153938665056</v>
      </c>
      <c r="J577" s="27" t="str">
        <f>IF(Table1[[#This Row],[MARGIN]]&lt;25%, "REVIEW", "OK")</f>
        <v>REVIEW</v>
      </c>
    </row>
    <row r="578" spans="1:10" ht="15.6" x14ac:dyDescent="0.3">
      <c r="A578" s="18" t="s">
        <v>635</v>
      </c>
      <c r="B578" s="13" t="s">
        <v>636</v>
      </c>
      <c r="C578" s="13" t="s">
        <v>1429</v>
      </c>
      <c r="D578" s="11" t="s">
        <v>8</v>
      </c>
      <c r="E578" s="11" t="s">
        <v>8</v>
      </c>
      <c r="F578" s="13" t="s">
        <v>8</v>
      </c>
      <c r="G578" s="47">
        <v>2.39</v>
      </c>
      <c r="H578" s="46" cm="1">
        <f t="array" ref="H578">ROUND(G578*IF(OR(MID(A578,5,3)={"BFF","PRK","FPL","LMB","FFI","MET","RIC","FLR","SUG","OIL","DRK","JCE","FEG"}),1.21,IF(OR(MID(A578,5,3)={"FVG","FFR"}),1.33,IF(OR(MID(A578,5,3)={"FBT","FCH","FMK","FYG","MLK","ICE","FRV","FPO","FRF","FCC","BRD"}),1.28,IF(OR(MID(A578,5,3)={"BIS","CRP","HRB","TUR","IND","HYG"}),1.38,1.31)))),2)</f>
        <v>3.06</v>
      </c>
      <c r="I578" s="29">
        <f>(Table1[[#This Row],[SALE PRICE]]-Table1[[#This Row],[COST PRICE]])/Table1[[#This Row],[SALE PRICE]]</f>
        <v>0.21895424836601304</v>
      </c>
      <c r="J578" s="26" t="str">
        <f>IF(Table1[[#This Row],[MARGIN]]&lt;25%, "REVIEW", "OK")</f>
        <v>REVIEW</v>
      </c>
    </row>
    <row r="579" spans="1:10" ht="15.6" x14ac:dyDescent="0.3">
      <c r="A579" s="17" t="s">
        <v>637</v>
      </c>
      <c r="B579" s="12" t="s">
        <v>638</v>
      </c>
      <c r="C579" s="12" t="s">
        <v>1429</v>
      </c>
      <c r="D579" s="10" t="s">
        <v>8</v>
      </c>
      <c r="E579" s="10" t="s">
        <v>8</v>
      </c>
      <c r="F579" s="12" t="s">
        <v>8</v>
      </c>
      <c r="G579" s="46">
        <v>3.49</v>
      </c>
      <c r="H579" s="47" cm="1">
        <f t="array" ref="H579">ROUND(G579*IF(OR(MID(A579,5,3)={"BFF","PRK","FPL","LMB","FFI","MET","RIC","FLR","SUG","OIL","DRK","JCE","FEG"}),1.21,IF(OR(MID(A579,5,3)={"FVG","FFR"}),1.33,IF(OR(MID(A579,5,3)={"FBT","FCH","FMK","FYG","MLK","ICE","FRV","FPO","FRF","FCC","BRD"}),1.28,IF(OR(MID(A579,5,3)={"BIS","CRP","HRB","TUR","IND","HYG"}),1.38,1.31)))),2)</f>
        <v>4.47</v>
      </c>
      <c r="I579" s="27">
        <f>(Table1[[#This Row],[SALE PRICE]]-Table1[[#This Row],[COST PRICE]])/Table1[[#This Row],[SALE PRICE]]</f>
        <v>0.21923937360178961</v>
      </c>
      <c r="J579" s="27" t="str">
        <f>IF(Table1[[#This Row],[MARGIN]]&lt;25%, "REVIEW", "OK")</f>
        <v>REVIEW</v>
      </c>
    </row>
    <row r="580" spans="1:10" s="1" customFormat="1" ht="15.6" x14ac:dyDescent="0.3">
      <c r="A580" s="16" t="s">
        <v>639</v>
      </c>
      <c r="B580" s="2" t="s">
        <v>8</v>
      </c>
      <c r="C580" s="2"/>
      <c r="D580" s="2" t="s">
        <v>8</v>
      </c>
      <c r="E580" s="2" t="s">
        <v>8</v>
      </c>
      <c r="F580" s="2" t="s">
        <v>8</v>
      </c>
      <c r="G580" s="48" t="s">
        <v>8</v>
      </c>
      <c r="H580" s="48" t="e" cm="1">
        <f t="array" ref="H580">ROUND(G580*IF(OR(MID(A580,5,3)={"BFF","PRK","FPL","LMB","FFI","MET","RIC","FLR","SUG","OIL","DRK","JCE","FEG"}),1.21,IF(OR(MID(A580,5,3)={"FVG","FFR"}),1.33,IF(OR(MID(A580,5,3)={"FBT","FCH","FMK","FYG","MLK","ICE","FRV","FPO","FRF","FCC","BRD"}),1.28,IF(OR(MID(A580,5,3)={"BIS","CRP","HRB","TUR","IND","HYG"}),1.38,1.31)))),2)</f>
        <v>#VALUE!</v>
      </c>
      <c r="I580" s="19"/>
      <c r="J580" s="19"/>
    </row>
    <row r="581" spans="1:10" ht="15.6" x14ac:dyDescent="0.3">
      <c r="A581" s="18" t="s">
        <v>640</v>
      </c>
      <c r="B581" s="13" t="s">
        <v>1150</v>
      </c>
      <c r="C581" s="13" t="s">
        <v>1429</v>
      </c>
      <c r="D581" s="11" t="s">
        <v>8</v>
      </c>
      <c r="E581" s="11" t="s">
        <v>8</v>
      </c>
      <c r="F581" s="13" t="s">
        <v>8</v>
      </c>
      <c r="G581" s="47">
        <v>45.99</v>
      </c>
      <c r="H581" s="47" cm="1">
        <f t="array" ref="H581">ROUND(G581*IF(OR(MID(A581,5,3)={"BFF","PRK","FPL","LMB","FFI","MET","RIC","FLR","SUG","OIL","DRK","JCE","FEG"}),1.21,IF(OR(MID(A581,5,3)={"FVG","FFR"}),1.33,IF(OR(MID(A581,5,3)={"FBT","FCH","FMK","FYG","MLK","ICE","FRV","FPO","FRF","FCC","BRD"}),1.28,IF(OR(MID(A581,5,3)={"BIS","CRP","HRB","TUR","IND","HYG"}),1.38,1.31)))),2)</f>
        <v>55.65</v>
      </c>
      <c r="I581" s="27">
        <f>(Table1[[#This Row],[SALE PRICE]]-Table1[[#This Row],[COST PRICE]])/Table1[[#This Row],[SALE PRICE]]</f>
        <v>0.17358490566037729</v>
      </c>
      <c r="J581" s="27" t="str">
        <f>IF(Table1[[#This Row],[MARGIN]]&lt;25%, "REVIEW", "OK")</f>
        <v>REVIEW</v>
      </c>
    </row>
    <row r="582" spans="1:10" ht="15.6" x14ac:dyDescent="0.3">
      <c r="A582" s="18" t="s">
        <v>641</v>
      </c>
      <c r="B582" s="12" t="s">
        <v>1151</v>
      </c>
      <c r="C582" s="12" t="s">
        <v>1429</v>
      </c>
      <c r="D582" s="10" t="s">
        <v>8</v>
      </c>
      <c r="E582" s="10" t="s">
        <v>8</v>
      </c>
      <c r="F582" s="12" t="s">
        <v>8</v>
      </c>
      <c r="G582" s="46">
        <v>41.29</v>
      </c>
      <c r="H582" s="46" cm="1">
        <f t="array" ref="H582">ROUND(G582*IF(OR(MID(A582,5,3)={"BFF","PRK","FPL","LMB","FFI","MET","RIC","FLR","SUG","OIL","DRK","JCE","FEG"}),1.21,IF(OR(MID(A582,5,3)={"FVG","FFR"}),1.33,IF(OR(MID(A582,5,3)={"FBT","FCH","FMK","FYG","MLK","ICE","FRV","FPO","FRF","FCC","BRD"}),1.28,IF(OR(MID(A582,5,3)={"BIS","CRP","HRB","TUR","IND","HYG"}),1.38,1.31)))),2)</f>
        <v>49.96</v>
      </c>
      <c r="I582" s="29">
        <f>(Table1[[#This Row],[SALE PRICE]]-Table1[[#This Row],[COST PRICE]])/Table1[[#This Row],[SALE PRICE]]</f>
        <v>0.17353883106485191</v>
      </c>
      <c r="J582" s="26" t="str">
        <f>IF(Table1[[#This Row],[MARGIN]]&lt;25%, "REVIEW", "OK")</f>
        <v>REVIEW</v>
      </c>
    </row>
    <row r="583" spans="1:10" ht="15.6" x14ac:dyDescent="0.3">
      <c r="A583" s="18" t="s">
        <v>642</v>
      </c>
      <c r="B583" s="13" t="s">
        <v>1152</v>
      </c>
      <c r="C583" s="13" t="s">
        <v>1430</v>
      </c>
      <c r="D583" s="11" t="s">
        <v>8</v>
      </c>
      <c r="E583" s="11" t="s">
        <v>8</v>
      </c>
      <c r="F583" s="13" t="s">
        <v>8</v>
      </c>
      <c r="G583" s="47">
        <v>17.989999999999998</v>
      </c>
      <c r="H583" s="47" cm="1">
        <f t="array" ref="H583">ROUND(G583*IF(OR(MID(A583,5,3)={"BFF","PRK","FPL","LMB","FFI","MET","RIC","FLR","SUG","OIL","DRK","JCE","FEG"}),1.21,IF(OR(MID(A583,5,3)={"FVG","FFR"}),1.33,IF(OR(MID(A583,5,3)={"FBT","FCH","FMK","FYG","MLK","ICE","FRV","FPO","FRF","FCC","BRD"}),1.28,IF(OR(MID(A583,5,3)={"BIS","CRP","HRB","TUR","IND","HYG"}),1.38,1.31)))),2)</f>
        <v>21.77</v>
      </c>
      <c r="I583" s="27">
        <f>(Table1[[#This Row],[SALE PRICE]]-Table1[[#This Row],[COST PRICE]])/Table1[[#This Row],[SALE PRICE]]</f>
        <v>0.17363344051446952</v>
      </c>
      <c r="J583" s="27" t="str">
        <f>IF(Table1[[#This Row],[MARGIN]]&lt;25%, "REVIEW", "OK")</f>
        <v>REVIEW</v>
      </c>
    </row>
    <row r="584" spans="1:10" ht="15.6" x14ac:dyDescent="0.3">
      <c r="A584" s="18" t="s">
        <v>643</v>
      </c>
      <c r="B584" s="12" t="s">
        <v>1153</v>
      </c>
      <c r="C584" s="12" t="s">
        <v>1429</v>
      </c>
      <c r="D584" s="10" t="s">
        <v>8</v>
      </c>
      <c r="E584" s="10" t="s">
        <v>8</v>
      </c>
      <c r="F584" s="12" t="s">
        <v>8</v>
      </c>
      <c r="G584" s="46">
        <v>24.99</v>
      </c>
      <c r="H584" s="46" cm="1">
        <f t="array" ref="H584">ROUND(G584*IF(OR(MID(A584,5,3)={"BFF","PRK","FPL","LMB","FFI","MET","RIC","FLR","SUG","OIL","DRK","JCE","FEG"}),1.21,IF(OR(MID(A584,5,3)={"FVG","FFR"}),1.33,IF(OR(MID(A584,5,3)={"FBT","FCH","FMK","FYG","MLK","ICE","FRV","FPO","FRF","FCC","BRD"}),1.28,IF(OR(MID(A584,5,3)={"BIS","CRP","HRB","TUR","IND","HYG"}),1.38,1.31)))),2)</f>
        <v>30.24</v>
      </c>
      <c r="I584" s="29">
        <f>(Table1[[#This Row],[SALE PRICE]]-Table1[[#This Row],[COST PRICE]])/Table1[[#This Row],[SALE PRICE]]</f>
        <v>0.17361111111111113</v>
      </c>
      <c r="J584" s="26" t="str">
        <f>IF(Table1[[#This Row],[MARGIN]]&lt;25%, "REVIEW", "OK")</f>
        <v>REVIEW</v>
      </c>
    </row>
    <row r="585" spans="1:10" ht="15.6" x14ac:dyDescent="0.3">
      <c r="A585" s="18" t="s">
        <v>644</v>
      </c>
      <c r="B585" s="13" t="s">
        <v>645</v>
      </c>
      <c r="C585" s="13" t="s">
        <v>1430</v>
      </c>
      <c r="D585" s="11" t="s">
        <v>8</v>
      </c>
      <c r="E585" s="11" t="s">
        <v>8</v>
      </c>
      <c r="F585" s="13" t="s">
        <v>8</v>
      </c>
      <c r="G585" s="47">
        <v>12.99</v>
      </c>
      <c r="H585" s="47" cm="1">
        <f t="array" ref="H585">ROUND(G585*IF(OR(MID(A585,5,3)={"BFF","PRK","FPL","LMB","FFI","MET","RIC","FLR","SUG","OIL","DRK","JCE","FEG"}),1.21,IF(OR(MID(A585,5,3)={"FVG","FFR"}),1.33,IF(OR(MID(A585,5,3)={"FBT","FCH","FMK","FYG","MLK","ICE","FRV","FPO","FRF","FCC","BRD"}),1.28,IF(OR(MID(A585,5,3)={"BIS","CRP","HRB","TUR","IND","HYG"}),1.38,1.31)))),2)</f>
        <v>15.72</v>
      </c>
      <c r="I585" s="27">
        <f>(Table1[[#This Row],[SALE PRICE]]-Table1[[#This Row],[COST PRICE]])/Table1[[#This Row],[SALE PRICE]]</f>
        <v>0.17366412213740459</v>
      </c>
      <c r="J585" s="27" t="str">
        <f>IF(Table1[[#This Row],[MARGIN]]&lt;25%, "REVIEW", "OK")</f>
        <v>REVIEW</v>
      </c>
    </row>
    <row r="586" spans="1:10" ht="15.6" x14ac:dyDescent="0.3">
      <c r="A586" s="18" t="s">
        <v>646</v>
      </c>
      <c r="B586" s="12" t="s">
        <v>647</v>
      </c>
      <c r="C586" s="12" t="s">
        <v>1439</v>
      </c>
      <c r="D586" s="10" t="s">
        <v>8</v>
      </c>
      <c r="E586" s="10" t="s">
        <v>8</v>
      </c>
      <c r="F586" s="12" t="s">
        <v>8</v>
      </c>
      <c r="G586" s="46">
        <v>9.9</v>
      </c>
      <c r="H586" s="46" cm="1">
        <f t="array" ref="H586">ROUND(G586*IF(OR(MID(A586,5,3)={"BFF","PRK","FPL","LMB","FFI","MET","RIC","FLR","SUG","OIL","DRK","JCE","FEG"}),1.21,IF(OR(MID(A586,5,3)={"FVG","FFR"}),1.33,IF(OR(MID(A586,5,3)={"FBT","FCH","FMK","FYG","MLK","ICE","FRV","FPO","FRF","FCC","BRD"}),1.28,IF(OR(MID(A586,5,3)={"BIS","CRP","HRB","TUR","IND","HYG"}),1.38,1.31)))),2)</f>
        <v>11.98</v>
      </c>
      <c r="I586" s="29">
        <f>(Table1[[#This Row],[SALE PRICE]]-Table1[[#This Row],[COST PRICE]])/Table1[[#This Row],[SALE PRICE]]</f>
        <v>0.17362270450751252</v>
      </c>
      <c r="J586" s="26" t="str">
        <f>IF(Table1[[#This Row],[MARGIN]]&lt;25%, "REVIEW", "OK")</f>
        <v>REVIEW</v>
      </c>
    </row>
    <row r="587" spans="1:10" ht="15.6" x14ac:dyDescent="0.3">
      <c r="A587" s="18" t="s">
        <v>648</v>
      </c>
      <c r="B587" s="13" t="s">
        <v>649</v>
      </c>
      <c r="C587" s="13" t="s">
        <v>1430</v>
      </c>
      <c r="D587" s="11" t="s">
        <v>8</v>
      </c>
      <c r="E587" s="11" t="s">
        <v>8</v>
      </c>
      <c r="F587" s="13" t="s">
        <v>8</v>
      </c>
      <c r="G587" s="47">
        <v>38.119999999999997</v>
      </c>
      <c r="H587" s="47" cm="1">
        <f t="array" ref="H587">ROUND(G587*IF(OR(MID(A587,5,3)={"BFF","PRK","FPL","LMB","FFI","MET","RIC","FLR","SUG","OIL","DRK","JCE","FEG"}),1.21,IF(OR(MID(A587,5,3)={"FVG","FFR"}),1.33,IF(OR(MID(A587,5,3)={"FBT","FCH","FMK","FYG","MLK","ICE","FRV","FPO","FRF","FCC","BRD"}),1.28,IF(OR(MID(A587,5,3)={"BIS","CRP","HRB","TUR","IND","HYG"}),1.38,1.31)))),2)</f>
        <v>46.13</v>
      </c>
      <c r="I587" s="27">
        <f>(Table1[[#This Row],[SALE PRICE]]-Table1[[#This Row],[COST PRICE]])/Table1[[#This Row],[SALE PRICE]]</f>
        <v>0.17363971385215704</v>
      </c>
      <c r="J587" s="27" t="str">
        <f>IF(Table1[[#This Row],[MARGIN]]&lt;25%, "REVIEW", "OK")</f>
        <v>REVIEW</v>
      </c>
    </row>
    <row r="588" spans="1:10" ht="15.6" x14ac:dyDescent="0.3">
      <c r="A588" s="18" t="s">
        <v>650</v>
      </c>
      <c r="B588" s="12" t="s">
        <v>651</v>
      </c>
      <c r="C588" s="12" t="s">
        <v>1430</v>
      </c>
      <c r="D588" s="10" t="s">
        <v>8</v>
      </c>
      <c r="E588" s="10" t="s">
        <v>8</v>
      </c>
      <c r="F588" s="12" t="s">
        <v>8</v>
      </c>
      <c r="G588" s="46">
        <v>25</v>
      </c>
      <c r="H588" s="46" cm="1">
        <f t="array" ref="H588">ROUND(G588*IF(OR(MID(A588,5,3)={"BFF","PRK","FPL","LMB","FFI","MET","RIC","FLR","SUG","OIL","DRK","JCE","FEG"}),1.21,IF(OR(MID(A588,5,3)={"FVG","FFR"}),1.33,IF(OR(MID(A588,5,3)={"FBT","FCH","FMK","FYG","MLK","ICE","FRV","FPO","FRF","FCC","BRD"}),1.28,IF(OR(MID(A588,5,3)={"BIS","CRP","HRB","TUR","IND","HYG"}),1.38,1.31)))),2)</f>
        <v>30.25</v>
      </c>
      <c r="I588" s="29">
        <f>(Table1[[#This Row],[SALE PRICE]]-Table1[[#This Row],[COST PRICE]])/Table1[[#This Row],[SALE PRICE]]</f>
        <v>0.17355371900826447</v>
      </c>
      <c r="J588" s="26" t="str">
        <f>IF(Table1[[#This Row],[MARGIN]]&lt;25%, "REVIEW", "OK")</f>
        <v>REVIEW</v>
      </c>
    </row>
    <row r="589" spans="1:10" ht="15.6" x14ac:dyDescent="0.3">
      <c r="A589" s="18" t="s">
        <v>652</v>
      </c>
      <c r="B589" s="13" t="s">
        <v>653</v>
      </c>
      <c r="C589" s="13" t="s">
        <v>1439</v>
      </c>
      <c r="D589" s="11" t="s">
        <v>8</v>
      </c>
      <c r="E589" s="11" t="s">
        <v>8</v>
      </c>
      <c r="F589" s="13" t="s">
        <v>8</v>
      </c>
      <c r="G589" s="47">
        <v>16.29</v>
      </c>
      <c r="H589" s="47" cm="1">
        <f t="array" ref="H589">ROUND(G589*IF(OR(MID(A589,5,3)={"BFF","PRK","FPL","LMB","FFI","MET","RIC","FLR","SUG","OIL","DRK","JCE","FEG"}),1.21,IF(OR(MID(A589,5,3)={"FVG","FFR"}),1.33,IF(OR(MID(A589,5,3)={"FBT","FCH","FMK","FYG","MLK","ICE","FRV","FPO","FRF","FCC","BRD"}),1.28,IF(OR(MID(A589,5,3)={"BIS","CRP","HRB","TUR","IND","HYG"}),1.38,1.31)))),2)</f>
        <v>19.71</v>
      </c>
      <c r="I589" s="27">
        <f>(Table1[[#This Row],[SALE PRICE]]-Table1[[#This Row],[COST PRICE]])/Table1[[#This Row],[SALE PRICE]]</f>
        <v>0.17351598173515989</v>
      </c>
      <c r="J589" s="27" t="str">
        <f>IF(Table1[[#This Row],[MARGIN]]&lt;25%, "REVIEW", "OK")</f>
        <v>REVIEW</v>
      </c>
    </row>
    <row r="590" spans="1:10" ht="15.6" x14ac:dyDescent="0.3">
      <c r="A590" s="18" t="s">
        <v>654</v>
      </c>
      <c r="B590" s="12" t="s">
        <v>655</v>
      </c>
      <c r="C590" s="12" t="s">
        <v>1439</v>
      </c>
      <c r="D590" s="10" t="s">
        <v>8</v>
      </c>
      <c r="E590" s="10" t="s">
        <v>8</v>
      </c>
      <c r="F590" s="12" t="s">
        <v>8</v>
      </c>
      <c r="G590" s="46">
        <v>19.690000000000001</v>
      </c>
      <c r="H590" s="46" cm="1">
        <f t="array" ref="H590">ROUND(G590*IF(OR(MID(A590,5,3)={"BFF","PRK","FPL","LMB","FFI","MET","RIC","FLR","SUG","OIL","DRK","JCE","FEG"}),1.21,IF(OR(MID(A590,5,3)={"FVG","FFR"}),1.33,IF(OR(MID(A590,5,3)={"FBT","FCH","FMK","FYG","MLK","ICE","FRV","FPO","FRF","FCC","BRD"}),1.28,IF(OR(MID(A590,5,3)={"BIS","CRP","HRB","TUR","IND","HYG"}),1.38,1.31)))),2)</f>
        <v>23.82</v>
      </c>
      <c r="I590" s="29">
        <f>(Table1[[#This Row],[SALE PRICE]]-Table1[[#This Row],[COST PRICE]])/Table1[[#This Row],[SALE PRICE]]</f>
        <v>0.17338371116708645</v>
      </c>
      <c r="J590" s="26" t="str">
        <f>IF(Table1[[#This Row],[MARGIN]]&lt;25%, "REVIEW", "OK")</f>
        <v>REVIEW</v>
      </c>
    </row>
    <row r="591" spans="1:10" ht="15.6" x14ac:dyDescent="0.3">
      <c r="A591" s="18" t="s">
        <v>656</v>
      </c>
      <c r="B591" s="12" t="s">
        <v>660</v>
      </c>
      <c r="C591" s="12" t="s">
        <v>1429</v>
      </c>
      <c r="D591" s="10" t="s">
        <v>1171</v>
      </c>
      <c r="E591" s="10" t="s">
        <v>8</v>
      </c>
      <c r="F591" s="12" t="s">
        <v>8</v>
      </c>
      <c r="G591" s="46">
        <v>45.99</v>
      </c>
      <c r="H591" s="47" cm="1">
        <f t="array" ref="H591">ROUND(G591*IF(OR(MID(A591,5,3)={"BFF","PRK","FPL","LMB","FFI","MET","RIC","FLR","SUG","OIL","DRK","JCE","FEG"}),1.21,IF(OR(MID(A591,5,3)={"FVG","FFR"}),1.33,IF(OR(MID(A591,5,3)={"FBT","FCH","FMK","FYG","MLK","ICE","FRV","FPO","FRF","FCC","BRD"}),1.28,IF(OR(MID(A591,5,3)={"BIS","CRP","HRB","TUR","IND","HYG"}),1.38,1.31)))),2)</f>
        <v>55.65</v>
      </c>
      <c r="I591" s="27">
        <f>(Table1[[#This Row],[SALE PRICE]]-Table1[[#This Row],[COST PRICE]])/Table1[[#This Row],[SALE PRICE]]</f>
        <v>0.17358490566037729</v>
      </c>
      <c r="J591" s="27" t="str">
        <f>IF(Table1[[#This Row],[MARGIN]]&lt;25%, "REVIEW", "OK")</f>
        <v>REVIEW</v>
      </c>
    </row>
    <row r="592" spans="1:10" ht="15.6" x14ac:dyDescent="0.3">
      <c r="A592" s="18" t="s">
        <v>657</v>
      </c>
      <c r="B592" s="13" t="s">
        <v>662</v>
      </c>
      <c r="C592" s="13" t="s">
        <v>1429</v>
      </c>
      <c r="D592" s="11" t="s">
        <v>1171</v>
      </c>
      <c r="E592" s="11" t="s">
        <v>8</v>
      </c>
      <c r="F592" s="13" t="s">
        <v>8</v>
      </c>
      <c r="G592" s="47">
        <v>23.99</v>
      </c>
      <c r="H592" s="46" cm="1">
        <f t="array" ref="H592">ROUND(G592*IF(OR(MID(A592,5,3)={"BFF","PRK","FPL","LMB","FFI","MET","RIC","FLR","SUG","OIL","DRK","JCE","FEG"}),1.21,IF(OR(MID(A592,5,3)={"FVG","FFR"}),1.33,IF(OR(MID(A592,5,3)={"FBT","FCH","FMK","FYG","MLK","ICE","FRV","FPO","FRF","FCC","BRD"}),1.28,IF(OR(MID(A592,5,3)={"BIS","CRP","HRB","TUR","IND","HYG"}),1.38,1.31)))),2)</f>
        <v>29.03</v>
      </c>
      <c r="I592" s="29">
        <f>(Table1[[#This Row],[SALE PRICE]]-Table1[[#This Row],[COST PRICE]])/Table1[[#This Row],[SALE PRICE]]</f>
        <v>0.17361350327247682</v>
      </c>
      <c r="J592" s="26" t="str">
        <f>IF(Table1[[#This Row],[MARGIN]]&lt;25%, "REVIEW", "OK")</f>
        <v>REVIEW</v>
      </c>
    </row>
    <row r="593" spans="1:10" ht="15.6" x14ac:dyDescent="0.3">
      <c r="A593" s="18" t="s">
        <v>658</v>
      </c>
      <c r="B593" s="12" t="s">
        <v>664</v>
      </c>
      <c r="C593" s="12" t="s">
        <v>1439</v>
      </c>
      <c r="D593" s="10" t="s">
        <v>1374</v>
      </c>
      <c r="E593" s="10" t="s">
        <v>8</v>
      </c>
      <c r="F593" s="12" t="s">
        <v>8</v>
      </c>
      <c r="G593" s="46">
        <v>3.85</v>
      </c>
      <c r="H593" s="47" cm="1">
        <f t="array" ref="H593">ROUND(G593*IF(OR(MID(A593,5,3)={"BFF","PRK","FPL","LMB","FFI","MET","RIC","FLR","SUG","OIL","DRK","JCE","FEG"}),1.21,IF(OR(MID(A593,5,3)={"FVG","FFR"}),1.33,IF(OR(MID(A593,5,3)={"FBT","FCH","FMK","FYG","MLK","ICE","FRV","FPO","FRF","FCC","BRD"}),1.28,IF(OR(MID(A593,5,3)={"BIS","CRP","HRB","TUR","IND","HYG"}),1.38,1.31)))),2)</f>
        <v>4.66</v>
      </c>
      <c r="I593" s="27">
        <f>(Table1[[#This Row],[SALE PRICE]]-Table1[[#This Row],[COST PRICE]])/Table1[[#This Row],[SALE PRICE]]</f>
        <v>0.1738197424892704</v>
      </c>
      <c r="J593" s="27" t="str">
        <f>IF(Table1[[#This Row],[MARGIN]]&lt;25%, "REVIEW", "OK")</f>
        <v>REVIEW</v>
      </c>
    </row>
    <row r="594" spans="1:10" ht="15.6" x14ac:dyDescent="0.3">
      <c r="A594" s="18" t="s">
        <v>659</v>
      </c>
      <c r="B594" s="12" t="s">
        <v>1389</v>
      </c>
      <c r="C594" s="12" t="s">
        <v>1427</v>
      </c>
      <c r="D594" s="10" t="s">
        <v>1171</v>
      </c>
      <c r="E594" s="10" t="s">
        <v>8</v>
      </c>
      <c r="F594" s="12" t="s">
        <v>8</v>
      </c>
      <c r="G594" s="46">
        <v>20.99</v>
      </c>
      <c r="H594" s="46" cm="1">
        <f t="array" ref="H594">ROUND(G594*IF(OR(MID(A594,5,3)={"BFF","PRK","FPL","LMB","FFI","MET","RIC","FLR","SUG","OIL","DRK","JCE","FEG"}),1.21,IF(OR(MID(A594,5,3)={"FVG","FFR"}),1.33,IF(OR(MID(A594,5,3)={"FBT","FCH","FMK","FYG","MLK","ICE","FRV","FPO","FRF","FCC","BRD"}),1.28,IF(OR(MID(A594,5,3)={"BIS","CRP","HRB","TUR","IND","HYG"}),1.38,1.31)))),2)</f>
        <v>25.4</v>
      </c>
      <c r="I594" s="29">
        <f>(Table1[[#This Row],[SALE PRICE]]-Table1[[#This Row],[COST PRICE]])/Table1[[#This Row],[SALE PRICE]]</f>
        <v>0.1736220472440945</v>
      </c>
      <c r="J594" s="26" t="str">
        <f>IF(Table1[[#This Row],[MARGIN]]&lt;25%, "REVIEW", "OK")</f>
        <v>REVIEW</v>
      </c>
    </row>
    <row r="595" spans="1:10" ht="15.6" x14ac:dyDescent="0.3">
      <c r="A595" s="18" t="s">
        <v>661</v>
      </c>
      <c r="B595" s="12" t="s">
        <v>1388</v>
      </c>
      <c r="C595" s="12" t="s">
        <v>1427</v>
      </c>
      <c r="D595" s="10"/>
      <c r="E595" s="10"/>
      <c r="F595" s="12"/>
      <c r="G595" s="46">
        <v>109.99</v>
      </c>
      <c r="H595" s="47" cm="1">
        <f t="array" ref="H595">ROUND(G595*IF(OR(MID(A595,5,3)={"BFF","PRK","FPL","LMB","FFI","MET","RIC","FLR","SUG","OIL","DRK","JCE","FEG"}),1.21,IF(OR(MID(A595,5,3)={"FVG","FFR"}),1.33,IF(OR(MID(A595,5,3)={"FBT","FCH","FMK","FYG","MLK","ICE","FRV","FPO","FRF","FCC","BRD"}),1.28,IF(OR(MID(A595,5,3)={"BIS","CRP","HRB","TUR","IND","HYG"}),1.38,1.31)))),2)</f>
        <v>133.09</v>
      </c>
      <c r="I595" s="27">
        <f>(Table1[[#This Row],[SALE PRICE]]-Table1[[#This Row],[COST PRICE]])/Table1[[#This Row],[SALE PRICE]]</f>
        <v>0.17356675933578788</v>
      </c>
      <c r="J595" s="27" t="str">
        <f>IF(Table1[[#This Row],[MARGIN]]&lt;25%, "REVIEW", "OK")</f>
        <v>REVIEW</v>
      </c>
    </row>
    <row r="596" spans="1:10" ht="15.6" x14ac:dyDescent="0.3">
      <c r="A596" s="18" t="s">
        <v>663</v>
      </c>
      <c r="B596" s="13" t="s">
        <v>1390</v>
      </c>
      <c r="C596" s="13" t="s">
        <v>1439</v>
      </c>
      <c r="D596" s="11" t="s">
        <v>1171</v>
      </c>
      <c r="E596" s="11" t="s">
        <v>8</v>
      </c>
      <c r="F596" s="13" t="s">
        <v>8</v>
      </c>
      <c r="G596" s="47">
        <v>16.29</v>
      </c>
      <c r="H596" s="46" cm="1">
        <f t="array" ref="H596">ROUND(G596*IF(OR(MID(A596,5,3)={"BFF","PRK","FPL","LMB","FFI","MET","RIC","FLR","SUG","OIL","DRK","JCE","FEG"}),1.21,IF(OR(MID(A596,5,3)={"FVG","FFR"}),1.33,IF(OR(MID(A596,5,3)={"FBT","FCH","FMK","FYG","MLK","ICE","FRV","FPO","FRF","FCC","BRD"}),1.28,IF(OR(MID(A596,5,3)={"BIS","CRP","HRB","TUR","IND","HYG"}),1.38,1.31)))),2)</f>
        <v>19.71</v>
      </c>
      <c r="I596" s="29">
        <f>(Table1[[#This Row],[SALE PRICE]]-Table1[[#This Row],[COST PRICE]])/Table1[[#This Row],[SALE PRICE]]</f>
        <v>0.17351598173515989</v>
      </c>
      <c r="J596" s="26" t="str">
        <f>IF(Table1[[#This Row],[MARGIN]]&lt;25%, "REVIEW", "OK")</f>
        <v>REVIEW</v>
      </c>
    </row>
    <row r="597" spans="1:10" ht="15.6" x14ac:dyDescent="0.3">
      <c r="A597" s="18" t="s">
        <v>665</v>
      </c>
      <c r="B597" s="12" t="s">
        <v>1375</v>
      </c>
      <c r="C597" s="12" t="s">
        <v>1427</v>
      </c>
      <c r="D597" s="10" t="s">
        <v>1171</v>
      </c>
      <c r="E597" s="10" t="s">
        <v>8</v>
      </c>
      <c r="F597" s="12" t="s">
        <v>8</v>
      </c>
      <c r="G597" s="46">
        <v>199.99</v>
      </c>
      <c r="H597" s="47" cm="1">
        <f t="array" ref="H597">ROUND(G597*IF(OR(MID(A597,5,3)={"BFF","PRK","FPL","LMB","FFI","MET","RIC","FLR","SUG","OIL","DRK","JCE","FEG"}),1.21,IF(OR(MID(A597,5,3)={"FVG","FFR"}),1.33,IF(OR(MID(A597,5,3)={"FBT","FCH","FMK","FYG","MLK","ICE","FRV","FPO","FRF","FCC","BRD"}),1.28,IF(OR(MID(A597,5,3)={"BIS","CRP","HRB","TUR","IND","HYG"}),1.38,1.31)))),2)</f>
        <v>241.99</v>
      </c>
      <c r="I597" s="27">
        <f>(Table1[[#This Row],[SALE PRICE]]-Table1[[#This Row],[COST PRICE]])/Table1[[#This Row],[SALE PRICE]]</f>
        <v>0.17356089094590685</v>
      </c>
      <c r="J597" s="27" t="str">
        <f>IF(Table1[[#This Row],[MARGIN]]&lt;25%, "REVIEW", "OK")</f>
        <v>REVIEW</v>
      </c>
    </row>
    <row r="598" spans="1:10" ht="15.6" x14ac:dyDescent="0.3">
      <c r="A598" s="18" t="s">
        <v>666</v>
      </c>
      <c r="B598" s="13" t="s">
        <v>1376</v>
      </c>
      <c r="C598" s="13" t="s">
        <v>1439</v>
      </c>
      <c r="D598" s="11" t="s">
        <v>1171</v>
      </c>
      <c r="E598" s="11" t="s">
        <v>8</v>
      </c>
      <c r="F598" s="13" t="s">
        <v>8</v>
      </c>
      <c r="G598" s="47">
        <v>10.99</v>
      </c>
      <c r="H598" s="46" cm="1">
        <f t="array" ref="H598">ROUND(G598*IF(OR(MID(A598,5,3)={"BFF","PRK","FPL","LMB","FFI","MET","RIC","FLR","SUG","OIL","DRK","JCE","FEG"}),1.21,IF(OR(MID(A598,5,3)={"FVG","FFR"}),1.33,IF(OR(MID(A598,5,3)={"FBT","FCH","FMK","FYG","MLK","ICE","FRV","FPO","FRF","FCC","BRD"}),1.28,IF(OR(MID(A598,5,3)={"BIS","CRP","HRB","TUR","IND","HYG"}),1.38,1.31)))),2)</f>
        <v>13.3</v>
      </c>
      <c r="I598" s="29">
        <f>(Table1[[#This Row],[SALE PRICE]]-Table1[[#This Row],[COST PRICE]])/Table1[[#This Row],[SALE PRICE]]</f>
        <v>0.17368421052631583</v>
      </c>
      <c r="J598" s="26" t="str">
        <f>IF(Table1[[#This Row],[MARGIN]]&lt;25%, "REVIEW", "OK")</f>
        <v>REVIEW</v>
      </c>
    </row>
    <row r="599" spans="1:10" ht="15.6" x14ac:dyDescent="0.3">
      <c r="A599" s="18" t="s">
        <v>667</v>
      </c>
      <c r="B599" s="12" t="s">
        <v>1391</v>
      </c>
      <c r="C599" s="12" t="s">
        <v>1427</v>
      </c>
      <c r="D599" s="10" t="s">
        <v>1171</v>
      </c>
      <c r="E599" s="10" t="s">
        <v>8</v>
      </c>
      <c r="F599" s="12" t="s">
        <v>8</v>
      </c>
      <c r="G599" s="46">
        <v>121.99</v>
      </c>
      <c r="H599" s="47" cm="1">
        <f t="array" ref="H599">ROUND(G599*IF(OR(MID(A599,5,3)={"BFF","PRK","FPL","LMB","FFI","MET","RIC","FLR","SUG","OIL","DRK","JCE","FEG"}),1.21,IF(OR(MID(A599,5,3)={"FVG","FFR"}),1.33,IF(OR(MID(A599,5,3)={"FBT","FCH","FMK","FYG","MLK","ICE","FRV","FPO","FRF","FCC","BRD"}),1.28,IF(OR(MID(A599,5,3)={"BIS","CRP","HRB","TUR","IND","HYG"}),1.38,1.31)))),2)</f>
        <v>147.61000000000001</v>
      </c>
      <c r="I599" s="27">
        <f>(Table1[[#This Row],[SALE PRICE]]-Table1[[#This Row],[COST PRICE]])/Table1[[#This Row],[SALE PRICE]]</f>
        <v>0.17356547659372681</v>
      </c>
      <c r="J599" s="27" t="str">
        <f>IF(Table1[[#This Row],[MARGIN]]&lt;25%, "REVIEW", "OK")</f>
        <v>REVIEW</v>
      </c>
    </row>
    <row r="600" spans="1:10" ht="15.6" x14ac:dyDescent="0.3">
      <c r="A600" s="18" t="s">
        <v>668</v>
      </c>
      <c r="B600" s="13" t="s">
        <v>676</v>
      </c>
      <c r="C600" s="13" t="s">
        <v>1429</v>
      </c>
      <c r="D600" s="11" t="s">
        <v>8</v>
      </c>
      <c r="E600" s="11" t="s">
        <v>8</v>
      </c>
      <c r="F600" s="13" t="s">
        <v>8</v>
      </c>
      <c r="G600" s="47">
        <v>23.75</v>
      </c>
      <c r="H600" s="46" cm="1">
        <f t="array" ref="H600">ROUND(G600*IF(OR(MID(A600,5,3)={"BFF","PRK","FPL","LMB","FFI","MET","RIC","FLR","SUG","OIL","DRK","JCE","FEG"}),1.21,IF(OR(MID(A600,5,3)={"FVG","FFR"}),1.33,IF(OR(MID(A600,5,3)={"FBT","FCH","FMK","FYG","MLK","ICE","FRV","FPO","FRF","FCC","BRD"}),1.28,IF(OR(MID(A600,5,3)={"BIS","CRP","HRB","TUR","IND","HYG"}),1.38,1.31)))),2)</f>
        <v>28.74</v>
      </c>
      <c r="I600" s="29">
        <f>(Table1[[#This Row],[SALE PRICE]]-Table1[[#This Row],[COST PRICE]])/Table1[[#This Row],[SALE PRICE]]</f>
        <v>0.17362560890744602</v>
      </c>
      <c r="J600" s="26" t="str">
        <f>IF(Table1[[#This Row],[MARGIN]]&lt;25%, "REVIEW", "OK")</f>
        <v>REVIEW</v>
      </c>
    </row>
    <row r="601" spans="1:10" ht="15.6" x14ac:dyDescent="0.3">
      <c r="A601" s="18" t="s">
        <v>669</v>
      </c>
      <c r="B601" s="12" t="s">
        <v>1377</v>
      </c>
      <c r="C601" s="12" t="s">
        <v>1429</v>
      </c>
      <c r="D601" s="10" t="s">
        <v>8</v>
      </c>
      <c r="E601" s="10" t="s">
        <v>8</v>
      </c>
      <c r="F601" s="12" t="s">
        <v>8</v>
      </c>
      <c r="G601" s="46">
        <v>11.49</v>
      </c>
      <c r="H601" s="47" cm="1">
        <f t="array" ref="H601">ROUND(G601*IF(OR(MID(A601,5,3)={"BFF","PRK","FPL","LMB","FFI","MET","RIC","FLR","SUG","OIL","DRK","JCE","FEG"}),1.21,IF(OR(MID(A601,5,3)={"FVG","FFR"}),1.33,IF(OR(MID(A601,5,3)={"FBT","FCH","FMK","FYG","MLK","ICE","FRV","FPO","FRF","FCC","BRD"}),1.28,IF(OR(MID(A601,5,3)={"BIS","CRP","HRB","TUR","IND","HYG"}),1.38,1.31)))),2)</f>
        <v>13.9</v>
      </c>
      <c r="I601" s="27">
        <f>(Table1[[#This Row],[SALE PRICE]]-Table1[[#This Row],[COST PRICE]])/Table1[[#This Row],[SALE PRICE]]</f>
        <v>0.17338129496402879</v>
      </c>
      <c r="J601" s="27" t="str">
        <f>IF(Table1[[#This Row],[MARGIN]]&lt;25%, "REVIEW", "OK")</f>
        <v>REVIEW</v>
      </c>
    </row>
    <row r="602" spans="1:10" ht="15.6" x14ac:dyDescent="0.3">
      <c r="A602" s="18" t="s">
        <v>670</v>
      </c>
      <c r="B602" s="13" t="s">
        <v>1378</v>
      </c>
      <c r="C602" s="13" t="s">
        <v>1429</v>
      </c>
      <c r="D602" s="11" t="s">
        <v>8</v>
      </c>
      <c r="E602" s="11" t="s">
        <v>8</v>
      </c>
      <c r="F602" s="13" t="s">
        <v>8</v>
      </c>
      <c r="G602" s="47">
        <v>10.99</v>
      </c>
      <c r="H602" s="46" cm="1">
        <f t="array" ref="H602">ROUND(G602*IF(OR(MID(A602,5,3)={"BFF","PRK","FPL","LMB","FFI","MET","RIC","FLR","SUG","OIL","DRK","JCE","FEG"}),1.21,IF(OR(MID(A602,5,3)={"FVG","FFR"}),1.33,IF(OR(MID(A602,5,3)={"FBT","FCH","FMK","FYG","MLK","ICE","FRV","FPO","FRF","FCC","BRD"}),1.28,IF(OR(MID(A602,5,3)={"BIS","CRP","HRB","TUR","IND","HYG"}),1.38,1.31)))),2)</f>
        <v>13.3</v>
      </c>
      <c r="I602" s="29">
        <f>(Table1[[#This Row],[SALE PRICE]]-Table1[[#This Row],[COST PRICE]])/Table1[[#This Row],[SALE PRICE]]</f>
        <v>0.17368421052631583</v>
      </c>
      <c r="J602" s="26" t="str">
        <f>IF(Table1[[#This Row],[MARGIN]]&lt;25%, "REVIEW", "OK")</f>
        <v>REVIEW</v>
      </c>
    </row>
    <row r="603" spans="1:10" ht="15.6" x14ac:dyDescent="0.3">
      <c r="A603" s="18" t="s">
        <v>671</v>
      </c>
      <c r="B603" s="12" t="s">
        <v>680</v>
      </c>
      <c r="C603" s="12" t="s">
        <v>1439</v>
      </c>
      <c r="D603" s="10" t="s">
        <v>8</v>
      </c>
      <c r="E603" s="10" t="s">
        <v>8</v>
      </c>
      <c r="F603" s="12" t="s">
        <v>8</v>
      </c>
      <c r="G603" s="46">
        <v>8.59</v>
      </c>
      <c r="H603" s="47" cm="1">
        <f t="array" ref="H603">ROUND(G603*IF(OR(MID(A603,5,3)={"BFF","PRK","FPL","LMB","FFI","MET","RIC","FLR","SUG","OIL","DRK","JCE","FEG"}),1.21,IF(OR(MID(A603,5,3)={"FVG","FFR"}),1.33,IF(OR(MID(A603,5,3)={"FBT","FCH","FMK","FYG","MLK","ICE","FRV","FPO","FRF","FCC","BRD"}),1.28,IF(OR(MID(A603,5,3)={"BIS","CRP","HRB","TUR","IND","HYG"}),1.38,1.31)))),2)</f>
        <v>10.39</v>
      </c>
      <c r="I603" s="27">
        <f>(Table1[[#This Row],[SALE PRICE]]-Table1[[#This Row],[COST PRICE]])/Table1[[#This Row],[SALE PRICE]]</f>
        <v>0.17324350336862374</v>
      </c>
      <c r="J603" s="27" t="str">
        <f>IF(Table1[[#This Row],[MARGIN]]&lt;25%, "REVIEW", "OK")</f>
        <v>REVIEW</v>
      </c>
    </row>
    <row r="604" spans="1:10" ht="15.6" x14ac:dyDescent="0.3">
      <c r="A604" s="18" t="s">
        <v>672</v>
      </c>
      <c r="B604" s="13" t="s">
        <v>1382</v>
      </c>
      <c r="C604" s="13" t="s">
        <v>1429</v>
      </c>
      <c r="D604" s="11" t="s">
        <v>8</v>
      </c>
      <c r="E604" s="11" t="s">
        <v>8</v>
      </c>
      <c r="F604" s="13" t="s">
        <v>8</v>
      </c>
      <c r="G604" s="47">
        <v>3.69</v>
      </c>
      <c r="H604" s="46" cm="1">
        <f t="array" ref="H604">ROUND(G604*IF(OR(MID(A604,5,3)={"BFF","PRK","FPL","LMB","FFI","MET","RIC","FLR","SUG","OIL","DRK","JCE","FEG"}),1.21,IF(OR(MID(A604,5,3)={"FVG","FFR"}),1.33,IF(OR(MID(A604,5,3)={"FBT","FCH","FMK","FYG","MLK","ICE","FRV","FPO","FRF","FCC","BRD"}),1.28,IF(OR(MID(A604,5,3)={"BIS","CRP","HRB","TUR","IND","HYG"}),1.38,1.31)))),2)</f>
        <v>4.46</v>
      </c>
      <c r="I604" s="29">
        <f>(Table1[[#This Row],[SALE PRICE]]-Table1[[#This Row],[COST PRICE]])/Table1[[#This Row],[SALE PRICE]]</f>
        <v>0.1726457399103139</v>
      </c>
      <c r="J604" s="26" t="str">
        <f>IF(Table1[[#This Row],[MARGIN]]&lt;25%, "REVIEW", "OK")</f>
        <v>REVIEW</v>
      </c>
    </row>
    <row r="605" spans="1:10" ht="15.6" x14ac:dyDescent="0.3">
      <c r="A605" s="18" t="s">
        <v>673</v>
      </c>
      <c r="B605" s="12" t="s">
        <v>683</v>
      </c>
      <c r="C605" s="12" t="s">
        <v>1429</v>
      </c>
      <c r="D605" s="10" t="s">
        <v>8</v>
      </c>
      <c r="E605" s="10" t="s">
        <v>8</v>
      </c>
      <c r="F605" s="12" t="s">
        <v>8</v>
      </c>
      <c r="G605" s="46">
        <v>6.09</v>
      </c>
      <c r="H605" s="47" cm="1">
        <f t="array" ref="H605">ROUND(G605*IF(OR(MID(A605,5,3)={"BFF","PRK","FPL","LMB","FFI","MET","RIC","FLR","SUG","OIL","DRK","JCE","FEG"}),1.21,IF(OR(MID(A605,5,3)={"FVG","FFR"}),1.33,IF(OR(MID(A605,5,3)={"FBT","FCH","FMK","FYG","MLK","ICE","FRV","FPO","FRF","FCC","BRD"}),1.28,IF(OR(MID(A605,5,3)={"BIS","CRP","HRB","TUR","IND","HYG"}),1.38,1.31)))),2)</f>
        <v>7.37</v>
      </c>
      <c r="I605" s="27">
        <f>(Table1[[#This Row],[SALE PRICE]]-Table1[[#This Row],[COST PRICE]])/Table1[[#This Row],[SALE PRICE]]</f>
        <v>0.1736770691994573</v>
      </c>
      <c r="J605" s="27" t="str">
        <f>IF(Table1[[#This Row],[MARGIN]]&lt;25%, "REVIEW", "OK")</f>
        <v>REVIEW</v>
      </c>
    </row>
    <row r="606" spans="1:10" ht="15.6" x14ac:dyDescent="0.3">
      <c r="A606" s="18" t="s">
        <v>674</v>
      </c>
      <c r="B606" s="13" t="s">
        <v>1379</v>
      </c>
      <c r="C606" s="13" t="s">
        <v>1429</v>
      </c>
      <c r="D606" s="10"/>
      <c r="E606" s="10"/>
      <c r="F606" s="12"/>
      <c r="G606" s="46">
        <v>7.39</v>
      </c>
      <c r="H606" s="46" cm="1">
        <f t="array" ref="H606">ROUND(G606*IF(OR(MID(A606,5,3)={"BFF","PRK","FPL","LMB","FFI","MET","RIC","FLR","SUG","OIL","DRK","JCE","FEG"}),1.21,IF(OR(MID(A606,5,3)={"FVG","FFR"}),1.33,IF(OR(MID(A606,5,3)={"FBT","FCH","FMK","FYG","MLK","ICE","FRV","FPO","FRF","FCC","BRD"}),1.28,IF(OR(MID(A606,5,3)={"BIS","CRP","HRB","TUR","IND","HYG"}),1.38,1.31)))),2)</f>
        <v>8.94</v>
      </c>
      <c r="I606" s="29">
        <f>(Table1[[#This Row],[SALE PRICE]]-Table1[[#This Row],[COST PRICE]])/Table1[[#This Row],[SALE PRICE]]</f>
        <v>0.1733780760626398</v>
      </c>
      <c r="J606" s="26" t="str">
        <f>IF(Table1[[#This Row],[MARGIN]]&lt;25%, "REVIEW", "OK")</f>
        <v>REVIEW</v>
      </c>
    </row>
    <row r="607" spans="1:10" ht="15.6" x14ac:dyDescent="0.3">
      <c r="A607" s="18" t="s">
        <v>675</v>
      </c>
      <c r="B607" s="13" t="s">
        <v>1379</v>
      </c>
      <c r="C607" s="13" t="s">
        <v>1429</v>
      </c>
      <c r="D607" s="11" t="s">
        <v>8</v>
      </c>
      <c r="E607" s="11" t="s">
        <v>8</v>
      </c>
      <c r="F607" s="13" t="s">
        <v>8</v>
      </c>
      <c r="G607" s="47">
        <v>6.59</v>
      </c>
      <c r="H607" s="47" cm="1">
        <f t="array" ref="H607">ROUND(G607*IF(OR(MID(A607,5,3)={"BFF","PRK","FPL","LMB","FFI","MET","RIC","FLR","SUG","OIL","DRK","JCE","FEG"}),1.21,IF(OR(MID(A607,5,3)={"FVG","FFR"}),1.33,IF(OR(MID(A607,5,3)={"FBT","FCH","FMK","FYG","MLK","ICE","FRV","FPO","FRF","FCC","BRD"}),1.28,IF(OR(MID(A607,5,3)={"BIS","CRP","HRB","TUR","IND","HYG"}),1.38,1.31)))),2)</f>
        <v>7.97</v>
      </c>
      <c r="I607" s="27">
        <f>(Table1[[#This Row],[SALE PRICE]]-Table1[[#This Row],[COST PRICE]])/Table1[[#This Row],[SALE PRICE]]</f>
        <v>0.17314930991217062</v>
      </c>
      <c r="J607" s="27" t="str">
        <f>IF(Table1[[#This Row],[MARGIN]]&lt;25%, "REVIEW", "OK")</f>
        <v>REVIEW</v>
      </c>
    </row>
    <row r="608" spans="1:10" ht="15.6" x14ac:dyDescent="0.3">
      <c r="A608" s="18" t="s">
        <v>677</v>
      </c>
      <c r="B608" s="12" t="s">
        <v>1380</v>
      </c>
      <c r="C608" s="12" t="s">
        <v>1429</v>
      </c>
      <c r="D608" s="10" t="s">
        <v>8</v>
      </c>
      <c r="E608" s="10" t="s">
        <v>8</v>
      </c>
      <c r="F608" s="12" t="s">
        <v>8</v>
      </c>
      <c r="G608" s="46">
        <v>29.59</v>
      </c>
      <c r="H608" s="46" cm="1">
        <f t="array" ref="H608">ROUND(G608*IF(OR(MID(A608,5,3)={"BFF","PRK","FPL","LMB","FFI","MET","RIC","FLR","SUG","OIL","DRK","JCE","FEG"}),1.21,IF(OR(MID(A608,5,3)={"FVG","FFR"}),1.33,IF(OR(MID(A608,5,3)={"FBT","FCH","FMK","FYG","MLK","ICE","FRV","FPO","FRF","FCC","BRD"}),1.28,IF(OR(MID(A608,5,3)={"BIS","CRP","HRB","TUR","IND","HYG"}),1.38,1.31)))),2)</f>
        <v>35.799999999999997</v>
      </c>
      <c r="I608" s="29">
        <f>(Table1[[#This Row],[SALE PRICE]]-Table1[[#This Row],[COST PRICE]])/Table1[[#This Row],[SALE PRICE]]</f>
        <v>0.17346368715083793</v>
      </c>
      <c r="J608" s="26" t="str">
        <f>IF(Table1[[#This Row],[MARGIN]]&lt;25%, "REVIEW", "OK")</f>
        <v>REVIEW</v>
      </c>
    </row>
    <row r="609" spans="1:10" ht="15.6" x14ac:dyDescent="0.3">
      <c r="A609" s="18" t="s">
        <v>678</v>
      </c>
      <c r="B609" s="13" t="s">
        <v>1381</v>
      </c>
      <c r="C609" s="13" t="s">
        <v>1429</v>
      </c>
      <c r="D609" s="11" t="s">
        <v>8</v>
      </c>
      <c r="E609" s="11" t="s">
        <v>8</v>
      </c>
      <c r="F609" s="13" t="s">
        <v>8</v>
      </c>
      <c r="G609" s="47">
        <v>16.489999999999998</v>
      </c>
      <c r="H609" s="47" cm="1">
        <f t="array" ref="H609">ROUND(G609*IF(OR(MID(A609,5,3)={"BFF","PRK","FPL","LMB","FFI","MET","RIC","FLR","SUG","OIL","DRK","JCE","FEG"}),1.21,IF(OR(MID(A609,5,3)={"FVG","FFR"}),1.33,IF(OR(MID(A609,5,3)={"FBT","FCH","FMK","FYG","MLK","ICE","FRV","FPO","FRF","FCC","BRD"}),1.28,IF(OR(MID(A609,5,3)={"BIS","CRP","HRB","TUR","IND","HYG"}),1.38,1.31)))),2)</f>
        <v>19.95</v>
      </c>
      <c r="I609" s="27">
        <f>(Table1[[#This Row],[SALE PRICE]]-Table1[[#This Row],[COST PRICE]])/Table1[[#This Row],[SALE PRICE]]</f>
        <v>0.1734335839598998</v>
      </c>
      <c r="J609" s="27" t="str">
        <f>IF(Table1[[#This Row],[MARGIN]]&lt;25%, "REVIEW", "OK")</f>
        <v>REVIEW</v>
      </c>
    </row>
    <row r="610" spans="1:10" ht="15.6" x14ac:dyDescent="0.3">
      <c r="A610" s="18" t="s">
        <v>679</v>
      </c>
      <c r="B610" s="12" t="s">
        <v>1386</v>
      </c>
      <c r="C610" s="12" t="s">
        <v>1429</v>
      </c>
      <c r="D610" s="10" t="s">
        <v>1171</v>
      </c>
      <c r="E610" s="10" t="s">
        <v>8</v>
      </c>
      <c r="F610" s="12" t="s">
        <v>8</v>
      </c>
      <c r="G610" s="46">
        <v>5.79</v>
      </c>
      <c r="H610" s="46" cm="1">
        <f t="array" ref="H610">ROUND(G610*IF(OR(MID(A610,5,3)={"BFF","PRK","FPL","LMB","FFI","MET","RIC","FLR","SUG","OIL","DRK","JCE","FEG"}),1.21,IF(OR(MID(A610,5,3)={"FVG","FFR"}),1.33,IF(OR(MID(A610,5,3)={"FBT","FCH","FMK","FYG","MLK","ICE","FRV","FPO","FRF","FCC","BRD"}),1.28,IF(OR(MID(A610,5,3)={"BIS","CRP","HRB","TUR","IND","HYG"}),1.38,1.31)))),2)</f>
        <v>7.01</v>
      </c>
      <c r="I610" s="29">
        <f>(Table1[[#This Row],[SALE PRICE]]-Table1[[#This Row],[COST PRICE]])/Table1[[#This Row],[SALE PRICE]]</f>
        <v>0.17403708987161196</v>
      </c>
      <c r="J610" s="26" t="str">
        <f>IF(Table1[[#This Row],[MARGIN]]&lt;25%, "REVIEW", "OK")</f>
        <v>REVIEW</v>
      </c>
    </row>
    <row r="611" spans="1:10" ht="15.6" x14ac:dyDescent="0.3">
      <c r="A611" s="18" t="s">
        <v>681</v>
      </c>
      <c r="B611" s="13" t="s">
        <v>1383</v>
      </c>
      <c r="C611" s="13" t="s">
        <v>1427</v>
      </c>
      <c r="D611" s="11" t="s">
        <v>8</v>
      </c>
      <c r="E611" s="11" t="s">
        <v>8</v>
      </c>
      <c r="F611" s="13" t="s">
        <v>8</v>
      </c>
      <c r="G611" s="47">
        <v>14.49</v>
      </c>
      <c r="H611" s="47" cm="1">
        <f t="array" ref="H611">ROUND(G611*IF(OR(MID(A611,5,3)={"BFF","PRK","FPL","LMB","FFI","MET","RIC","FLR","SUG","OIL","DRK","JCE","FEG"}),1.21,IF(OR(MID(A611,5,3)={"FVG","FFR"}),1.33,IF(OR(MID(A611,5,3)={"FBT","FCH","FMK","FYG","MLK","ICE","FRV","FPO","FRF","FCC","BRD"}),1.28,IF(OR(MID(A611,5,3)={"BIS","CRP","HRB","TUR","IND","HYG"}),1.38,1.31)))),2)</f>
        <v>17.53</v>
      </c>
      <c r="I611" s="27">
        <f>(Table1[[#This Row],[SALE PRICE]]-Table1[[#This Row],[COST PRICE]])/Table1[[#This Row],[SALE PRICE]]</f>
        <v>0.17341699942954938</v>
      </c>
      <c r="J611" s="27" t="str">
        <f>IF(Table1[[#This Row],[MARGIN]]&lt;25%, "REVIEW", "OK")</f>
        <v>REVIEW</v>
      </c>
    </row>
    <row r="612" spans="1:10" ht="15.6" x14ac:dyDescent="0.3">
      <c r="A612" s="18" t="s">
        <v>682</v>
      </c>
      <c r="B612" s="12" t="s">
        <v>1384</v>
      </c>
      <c r="C612" s="12" t="s">
        <v>1429</v>
      </c>
      <c r="D612" s="10" t="s">
        <v>8</v>
      </c>
      <c r="E612" s="10" t="s">
        <v>8</v>
      </c>
      <c r="F612" s="12" t="s">
        <v>8</v>
      </c>
      <c r="G612" s="46">
        <v>15.99</v>
      </c>
      <c r="H612" s="46" cm="1">
        <f t="array" ref="H612">ROUND(G612*IF(OR(MID(A612,5,3)={"BFF","PRK","FPL","LMB","FFI","MET","RIC","FLR","SUG","OIL","DRK","JCE","FEG"}),1.21,IF(OR(MID(A612,5,3)={"FVG","FFR"}),1.33,IF(OR(MID(A612,5,3)={"FBT","FCH","FMK","FYG","MLK","ICE","FRV","FPO","FRF","FCC","BRD"}),1.28,IF(OR(MID(A612,5,3)={"BIS","CRP","HRB","TUR","IND","HYG"}),1.38,1.31)))),2)</f>
        <v>19.350000000000001</v>
      </c>
      <c r="I612" s="29">
        <f>(Table1[[#This Row],[SALE PRICE]]-Table1[[#This Row],[COST PRICE]])/Table1[[#This Row],[SALE PRICE]]</f>
        <v>0.17364341085271323</v>
      </c>
      <c r="J612" s="26" t="str">
        <f>IF(Table1[[#This Row],[MARGIN]]&lt;25%, "REVIEW", "OK")</f>
        <v>REVIEW</v>
      </c>
    </row>
    <row r="613" spans="1:10" ht="15.6" x14ac:dyDescent="0.3">
      <c r="A613" s="18" t="s">
        <v>684</v>
      </c>
      <c r="B613" s="13" t="s">
        <v>1385</v>
      </c>
      <c r="C613" s="13" t="s">
        <v>1430</v>
      </c>
      <c r="D613" s="11" t="s">
        <v>8</v>
      </c>
      <c r="E613" s="11" t="s">
        <v>8</v>
      </c>
      <c r="F613" s="13" t="s">
        <v>8</v>
      </c>
      <c r="G613" s="47">
        <v>6.99</v>
      </c>
      <c r="H613" s="47" cm="1">
        <f t="array" ref="H613">ROUND(G613*IF(OR(MID(A613,5,3)={"BFF","PRK","FPL","LMB","FFI","MET","RIC","FLR","SUG","OIL","DRK","JCE","FEG"}),1.21,IF(OR(MID(A613,5,3)={"FVG","FFR"}),1.33,IF(OR(MID(A613,5,3)={"FBT","FCH","FMK","FYG","MLK","ICE","FRV","FPO","FRF","FCC","BRD"}),1.28,IF(OR(MID(A613,5,3)={"BIS","CRP","HRB","TUR","IND","HYG"}),1.38,1.31)))),2)</f>
        <v>8.4600000000000009</v>
      </c>
      <c r="I613" s="27">
        <f>(Table1[[#This Row],[SALE PRICE]]-Table1[[#This Row],[COST PRICE]])/Table1[[#This Row],[SALE PRICE]]</f>
        <v>0.17375886524822701</v>
      </c>
      <c r="J613" s="27" t="str">
        <f>IF(Table1[[#This Row],[MARGIN]]&lt;25%, "REVIEW", "OK")</f>
        <v>REVIEW</v>
      </c>
    </row>
    <row r="614" spans="1:10" ht="15.6" x14ac:dyDescent="0.3">
      <c r="A614" s="18" t="s">
        <v>685</v>
      </c>
      <c r="B614" s="12" t="s">
        <v>1387</v>
      </c>
      <c r="C614" s="12" t="s">
        <v>1439</v>
      </c>
      <c r="D614" s="10" t="s">
        <v>1171</v>
      </c>
      <c r="E614" s="10" t="s">
        <v>8</v>
      </c>
      <c r="F614" s="12" t="s">
        <v>8</v>
      </c>
      <c r="G614" s="46">
        <v>18.989999999999998</v>
      </c>
      <c r="H614" s="46" cm="1">
        <f t="array" ref="H614">ROUND(G614*IF(OR(MID(A614,5,3)={"BFF","PRK","FPL","LMB","FFI","MET","RIC","FLR","SUG","OIL","DRK","JCE","FEG"}),1.21,IF(OR(MID(A614,5,3)={"FVG","FFR"}),1.33,IF(OR(MID(A614,5,3)={"FBT","FCH","FMK","FYG","MLK","ICE","FRV","FPO","FRF","FCC","BRD"}),1.28,IF(OR(MID(A614,5,3)={"BIS","CRP","HRB","TUR","IND","HYG"}),1.38,1.31)))),2)</f>
        <v>22.98</v>
      </c>
      <c r="I614" s="29">
        <f>(Table1[[#This Row],[SALE PRICE]]-Table1[[#This Row],[COST PRICE]])/Table1[[#This Row],[SALE PRICE]]</f>
        <v>0.17362924281984343</v>
      </c>
      <c r="J614" s="26" t="str">
        <f>IF(Table1[[#This Row],[MARGIN]]&lt;25%, "REVIEW", "OK")</f>
        <v>REVIEW</v>
      </c>
    </row>
    <row r="615" spans="1:10" s="1" customFormat="1" ht="31.2" x14ac:dyDescent="0.3">
      <c r="A615" s="16" t="s">
        <v>686</v>
      </c>
      <c r="B615" s="2" t="s">
        <v>8</v>
      </c>
      <c r="C615" s="2"/>
      <c r="D615" s="2" t="s">
        <v>8</v>
      </c>
      <c r="E615" s="2" t="s">
        <v>8</v>
      </c>
      <c r="F615" s="2" t="s">
        <v>8</v>
      </c>
      <c r="G615" s="48" t="s">
        <v>8</v>
      </c>
      <c r="H615" s="48" t="e" cm="1">
        <f t="array" ref="H615">ROUND(G615*IF(OR(MID(A615,5,3)={"BFF","PRK","FPL","LMB","FFI","MET","RIC","FLR","SUG","OIL","DRK","JCE","FEG"}),1.21,IF(OR(MID(A615,5,3)={"FVG","FFR"}),1.33,IF(OR(MID(A615,5,3)={"FBT","FCH","FMK","FYG","MLK","ICE","FRV","FPO","FRF","FCC","BRD"}),1.28,IF(OR(MID(A615,5,3)={"BIS","CRP","HRB","TUR","IND","HYG"}),1.38,1.31)))),2)</f>
        <v>#VALUE!</v>
      </c>
      <c r="I615" s="19"/>
      <c r="J615" s="19"/>
    </row>
    <row r="616" spans="1:10" ht="15.6" x14ac:dyDescent="0.3">
      <c r="A616" s="18" t="s">
        <v>687</v>
      </c>
      <c r="B616" s="13" t="s">
        <v>1154</v>
      </c>
      <c r="C616" s="13" t="s">
        <v>1427</v>
      </c>
      <c r="D616" s="11" t="s">
        <v>8</v>
      </c>
      <c r="E616" s="11" t="s">
        <v>8</v>
      </c>
      <c r="F616" s="13" t="s">
        <v>8</v>
      </c>
      <c r="G616" s="47">
        <v>39.99</v>
      </c>
      <c r="H616" s="46" cm="1">
        <f t="array" ref="H616">ROUND(G616*IF(OR(MID(A616,5,3)={"BFF","PRK","FPL","LMB","FFI","MET","RIC","FLR","SUG","OIL","DRK","JCE","FEG"}),1.21,IF(OR(MID(A616,5,3)={"FVG","FFR"}),1.33,IF(OR(MID(A616,5,3)={"FBT","FCH","FMK","FYG","MLK","ICE","FRV","FPO","FRF","FCC","BRD"}),1.28,IF(OR(MID(A616,5,3)={"BIS","CRP","HRB","TUR","IND","HYG"}),1.38,1.31)))),2)</f>
        <v>48.39</v>
      </c>
      <c r="I616" s="29">
        <f>(Table1[[#This Row],[SALE PRICE]]-Table1[[#This Row],[COST PRICE]])/Table1[[#This Row],[SALE PRICE]]</f>
        <v>0.17358958462492247</v>
      </c>
      <c r="J616" s="26" t="str">
        <f>IF(Table1[[#This Row],[MARGIN]]&lt;25%, "REVIEW", "OK")</f>
        <v>REVIEW</v>
      </c>
    </row>
    <row r="617" spans="1:10" ht="15.6" x14ac:dyDescent="0.3">
      <c r="A617" s="17" t="s">
        <v>688</v>
      </c>
      <c r="B617" s="12" t="s">
        <v>1155</v>
      </c>
      <c r="C617" s="12" t="s">
        <v>1440</v>
      </c>
      <c r="D617" s="10" t="s">
        <v>8</v>
      </c>
      <c r="E617" s="10" t="s">
        <v>8</v>
      </c>
      <c r="F617" s="12" t="s">
        <v>8</v>
      </c>
      <c r="G617" s="46">
        <v>3.69</v>
      </c>
      <c r="H617" s="47" cm="1">
        <f t="array" ref="H617">ROUND(G617*IF(OR(MID(A617,5,3)={"BFF","PRK","FPL","LMB","FFI","MET","RIC","FLR","SUG","OIL","DRK","JCE","FEG"}),1.21,IF(OR(MID(A617,5,3)={"FVG","FFR"}),1.33,IF(OR(MID(A617,5,3)={"FBT","FCH","FMK","FYG","MLK","ICE","FRV","FPO","FRF","FCC","BRD"}),1.28,IF(OR(MID(A617,5,3)={"BIS","CRP","HRB","TUR","IND","HYG"}),1.38,1.31)))),2)</f>
        <v>4.46</v>
      </c>
      <c r="I617" s="27">
        <f>(Table1[[#This Row],[SALE PRICE]]-Table1[[#This Row],[COST PRICE]])/Table1[[#This Row],[SALE PRICE]]</f>
        <v>0.1726457399103139</v>
      </c>
      <c r="J617" s="27" t="str">
        <f>IF(Table1[[#This Row],[MARGIN]]&lt;25%, "REVIEW", "OK")</f>
        <v>REVIEW</v>
      </c>
    </row>
    <row r="618" spans="1:10" ht="15.6" x14ac:dyDescent="0.3">
      <c r="A618" s="18" t="s">
        <v>689</v>
      </c>
      <c r="B618" s="13" t="s">
        <v>1156</v>
      </c>
      <c r="C618" s="13" t="s">
        <v>1429</v>
      </c>
      <c r="D618" s="11" t="s">
        <v>8</v>
      </c>
      <c r="E618" s="11" t="s">
        <v>8</v>
      </c>
      <c r="F618" s="13" t="s">
        <v>8</v>
      </c>
      <c r="G618" s="47">
        <v>6.89</v>
      </c>
      <c r="H618" s="46" cm="1">
        <f t="array" ref="H618">ROUND(G618*IF(OR(MID(A618,5,3)={"BFF","PRK","FPL","LMB","FFI","MET","RIC","FLR","SUG","OIL","DRK","JCE","FEG"}),1.21,IF(OR(MID(A618,5,3)={"FVG","FFR"}),1.33,IF(OR(MID(A618,5,3)={"FBT","FCH","FMK","FYG","MLK","ICE","FRV","FPO","FRF","FCC","BRD"}),1.28,IF(OR(MID(A618,5,3)={"BIS","CRP","HRB","TUR","IND","HYG"}),1.38,1.31)))),2)</f>
        <v>8.34</v>
      </c>
      <c r="I618" s="29">
        <f>(Table1[[#This Row],[SALE PRICE]]-Table1[[#This Row],[COST PRICE]])/Table1[[#This Row],[SALE PRICE]]</f>
        <v>0.17386091127098324</v>
      </c>
      <c r="J618" s="26" t="str">
        <f>IF(Table1[[#This Row],[MARGIN]]&lt;25%, "REVIEW", "OK")</f>
        <v>REVIEW</v>
      </c>
    </row>
    <row r="619" spans="1:10" ht="15.6" x14ac:dyDescent="0.3">
      <c r="A619" s="18" t="s">
        <v>690</v>
      </c>
      <c r="B619" s="13" t="s">
        <v>1157</v>
      </c>
      <c r="C619" s="13" t="s">
        <v>1429</v>
      </c>
      <c r="D619" s="11"/>
      <c r="E619" s="11"/>
      <c r="F619" s="13"/>
      <c r="G619" s="47">
        <v>7.99</v>
      </c>
      <c r="H619" s="47" cm="1">
        <f t="array" ref="H619">ROUND(G619*IF(OR(MID(A619,5,3)={"BFF","PRK","FPL","LMB","FFI","MET","RIC","FLR","SUG","OIL","DRK","JCE","FEG"}),1.21,IF(OR(MID(A619,5,3)={"FVG","FFR"}),1.33,IF(OR(MID(A619,5,3)={"FBT","FCH","FMK","FYG","MLK","ICE","FRV","FPO","FRF","FCC","BRD"}),1.28,IF(OR(MID(A619,5,3)={"BIS","CRP","HRB","TUR","IND","HYG"}),1.38,1.31)))),2)</f>
        <v>9.67</v>
      </c>
      <c r="I619" s="27">
        <f>(Table1[[#This Row],[SALE PRICE]]-Table1[[#This Row],[COST PRICE]])/Table1[[#This Row],[SALE PRICE]]</f>
        <v>0.17373319544984486</v>
      </c>
      <c r="J619" s="27" t="str">
        <f>IF(Table1[[#This Row],[MARGIN]]&lt;25%, "REVIEW", "OK")</f>
        <v>REVIEW</v>
      </c>
    </row>
    <row r="620" spans="1:10" ht="15.6" x14ac:dyDescent="0.3">
      <c r="A620" s="18" t="s">
        <v>691</v>
      </c>
      <c r="B620" s="12" t="s">
        <v>1158</v>
      </c>
      <c r="C620" s="12" t="s">
        <v>1429</v>
      </c>
      <c r="D620" s="10" t="s">
        <v>8</v>
      </c>
      <c r="E620" s="10" t="s">
        <v>8</v>
      </c>
      <c r="F620" s="12" t="s">
        <v>8</v>
      </c>
      <c r="G620" s="46">
        <v>14.29</v>
      </c>
      <c r="H620" s="46" cm="1">
        <f t="array" ref="H620">ROUND(G620*IF(OR(MID(A620,5,3)={"BFF","PRK","FPL","LMB","FFI","MET","RIC","FLR","SUG","OIL","DRK","JCE","FEG"}),1.21,IF(OR(MID(A620,5,3)={"FVG","FFR"}),1.33,IF(OR(MID(A620,5,3)={"FBT","FCH","FMK","FYG","MLK","ICE","FRV","FPO","FRF","FCC","BRD"}),1.28,IF(OR(MID(A620,5,3)={"BIS","CRP","HRB","TUR","IND","HYG"}),1.38,1.31)))),2)</f>
        <v>17.29</v>
      </c>
      <c r="I620" s="29">
        <f>(Table1[[#This Row],[SALE PRICE]]-Table1[[#This Row],[COST PRICE]])/Table1[[#This Row],[SALE PRICE]]</f>
        <v>0.17351069982648931</v>
      </c>
      <c r="J620" s="26" t="str">
        <f>IF(Table1[[#This Row],[MARGIN]]&lt;25%, "REVIEW", "OK")</f>
        <v>REVIEW</v>
      </c>
    </row>
    <row r="621" spans="1:10" ht="15.6" x14ac:dyDescent="0.3">
      <c r="A621" s="18" t="s">
        <v>692</v>
      </c>
      <c r="B621" s="13" t="s">
        <v>1159</v>
      </c>
      <c r="C621" s="13" t="s">
        <v>1427</v>
      </c>
      <c r="D621" s="11" t="s">
        <v>8</v>
      </c>
      <c r="E621" s="11" t="s">
        <v>8</v>
      </c>
      <c r="F621" s="13" t="s">
        <v>8</v>
      </c>
      <c r="G621" s="47">
        <v>6.35</v>
      </c>
      <c r="H621" s="47" cm="1">
        <f t="array" ref="H621">ROUND(G621*IF(OR(MID(A621,5,3)={"BFF","PRK","FPL","LMB","FFI","MET","RIC","FLR","SUG","OIL","DRK","JCE","FEG"}),1.21,IF(OR(MID(A621,5,3)={"FVG","FFR"}),1.33,IF(OR(MID(A621,5,3)={"FBT","FCH","FMK","FYG","MLK","ICE","FRV","FPO","FRF","FCC","BRD"}),1.28,IF(OR(MID(A621,5,3)={"BIS","CRP","HRB","TUR","IND","HYG"}),1.38,1.31)))),2)</f>
        <v>7.68</v>
      </c>
      <c r="I621" s="27">
        <f>(Table1[[#This Row],[SALE PRICE]]-Table1[[#This Row],[COST PRICE]])/Table1[[#This Row],[SALE PRICE]]</f>
        <v>0.17317708333333334</v>
      </c>
      <c r="J621" s="27" t="str">
        <f>IF(Table1[[#This Row],[MARGIN]]&lt;25%, "REVIEW", "OK")</f>
        <v>REVIEW</v>
      </c>
    </row>
    <row r="622" spans="1:10" ht="15.6" x14ac:dyDescent="0.3">
      <c r="A622" s="18" t="s">
        <v>693</v>
      </c>
      <c r="B622" s="12" t="s">
        <v>1160</v>
      </c>
      <c r="C622" s="12" t="s">
        <v>1429</v>
      </c>
      <c r="D622" s="10" t="s">
        <v>8</v>
      </c>
      <c r="E622" s="10" t="s">
        <v>8</v>
      </c>
      <c r="F622" s="12" t="s">
        <v>8</v>
      </c>
      <c r="G622" s="46">
        <v>10.49</v>
      </c>
      <c r="H622" s="46" cm="1">
        <f t="array" ref="H622">ROUND(G622*IF(OR(MID(A622,5,3)={"BFF","PRK","FPL","LMB","FFI","MET","RIC","FLR","SUG","OIL","DRK","JCE","FEG"}),1.21,IF(OR(MID(A622,5,3)={"FVG","FFR"}),1.33,IF(OR(MID(A622,5,3)={"FBT","FCH","FMK","FYG","MLK","ICE","FRV","FPO","FRF","FCC","BRD"}),1.28,IF(OR(MID(A622,5,3)={"BIS","CRP","HRB","TUR","IND","HYG"}),1.38,1.31)))),2)</f>
        <v>12.69</v>
      </c>
      <c r="I622" s="29">
        <f>(Table1[[#This Row],[SALE PRICE]]-Table1[[#This Row],[COST PRICE]])/Table1[[#This Row],[SALE PRICE]]</f>
        <v>0.17336485421591799</v>
      </c>
      <c r="J622" s="26" t="str">
        <f>IF(Table1[[#This Row],[MARGIN]]&lt;25%, "REVIEW", "OK")</f>
        <v>REVIEW</v>
      </c>
    </row>
    <row r="623" spans="1:10" ht="15.6" x14ac:dyDescent="0.3">
      <c r="A623" s="18" t="s">
        <v>694</v>
      </c>
      <c r="B623" s="13" t="s">
        <v>1161</v>
      </c>
      <c r="C623" s="13" t="s">
        <v>1429</v>
      </c>
      <c r="D623" s="11" t="s">
        <v>8</v>
      </c>
      <c r="E623" s="11" t="s">
        <v>8</v>
      </c>
      <c r="F623" s="13" t="s">
        <v>8</v>
      </c>
      <c r="G623" s="47">
        <v>8.19</v>
      </c>
      <c r="H623" s="47" cm="1">
        <f t="array" ref="H623">ROUND(G623*IF(OR(MID(A623,5,3)={"BFF","PRK","FPL","LMB","FFI","MET","RIC","FLR","SUG","OIL","DRK","JCE","FEG"}),1.21,IF(OR(MID(A623,5,3)={"FVG","FFR"}),1.33,IF(OR(MID(A623,5,3)={"FBT","FCH","FMK","FYG","MLK","ICE","FRV","FPO","FRF","FCC","BRD"}),1.28,IF(OR(MID(A623,5,3)={"BIS","CRP","HRB","TUR","IND","HYG"}),1.38,1.31)))),2)</f>
        <v>9.91</v>
      </c>
      <c r="I623" s="27">
        <f>(Table1[[#This Row],[SALE PRICE]]-Table1[[#This Row],[COST PRICE]])/Table1[[#This Row],[SALE PRICE]]</f>
        <v>0.17356205852674073</v>
      </c>
      <c r="J623" s="27" t="str">
        <f>IF(Table1[[#This Row],[MARGIN]]&lt;25%, "REVIEW", "OK")</f>
        <v>REVIEW</v>
      </c>
    </row>
    <row r="624" spans="1:10" ht="15.6" x14ac:dyDescent="0.3">
      <c r="A624" s="18" t="s">
        <v>695</v>
      </c>
      <c r="B624" s="12" t="s">
        <v>1162</v>
      </c>
      <c r="C624" s="12" t="s">
        <v>1440</v>
      </c>
      <c r="D624" s="10" t="s">
        <v>8</v>
      </c>
      <c r="E624" s="10" t="s">
        <v>8</v>
      </c>
      <c r="F624" s="12" t="s">
        <v>8</v>
      </c>
      <c r="G624" s="46">
        <v>9.19</v>
      </c>
      <c r="H624" s="46" cm="1">
        <f t="array" ref="H624">ROUND(G624*IF(OR(MID(A624,5,3)={"BFF","PRK","FPL","LMB","FFI","MET","RIC","FLR","SUG","OIL","DRK","JCE","FEG"}),1.21,IF(OR(MID(A624,5,3)={"FVG","FFR"}),1.33,IF(OR(MID(A624,5,3)={"FBT","FCH","FMK","FYG","MLK","ICE","FRV","FPO","FRF","FCC","BRD"}),1.28,IF(OR(MID(A624,5,3)={"BIS","CRP","HRB","TUR","IND","HYG"}),1.38,1.31)))),2)</f>
        <v>11.12</v>
      </c>
      <c r="I624" s="29">
        <f>(Table1[[#This Row],[SALE PRICE]]-Table1[[#This Row],[COST PRICE]])/Table1[[#This Row],[SALE PRICE]]</f>
        <v>0.17356115107913667</v>
      </c>
      <c r="J624" s="26" t="str">
        <f>IF(Table1[[#This Row],[MARGIN]]&lt;25%, "REVIEW", "OK")</f>
        <v>REVIEW</v>
      </c>
    </row>
    <row r="625" spans="1:10" ht="15.6" x14ac:dyDescent="0.3">
      <c r="A625" s="18" t="s">
        <v>696</v>
      </c>
      <c r="B625" s="13" t="s">
        <v>1392</v>
      </c>
      <c r="C625" s="13" t="s">
        <v>1440</v>
      </c>
      <c r="D625" s="11" t="s">
        <v>8</v>
      </c>
      <c r="E625" s="11" t="s">
        <v>8</v>
      </c>
      <c r="F625" s="13" t="s">
        <v>8</v>
      </c>
      <c r="G625" s="47">
        <v>45.49</v>
      </c>
      <c r="H625" s="47" cm="1">
        <f t="array" ref="H625">ROUND(G625*IF(OR(MID(A625,5,3)={"BFF","PRK","FPL","LMB","FFI","MET","RIC","FLR","SUG","OIL","DRK","JCE","FEG"}),1.21,IF(OR(MID(A625,5,3)={"FVG","FFR"}),1.33,IF(OR(MID(A625,5,3)={"FBT","FCH","FMK","FYG","MLK","ICE","FRV","FPO","FRF","FCC","BRD"}),1.28,IF(OR(MID(A625,5,3)={"BIS","CRP","HRB","TUR","IND","HYG"}),1.38,1.31)))),2)</f>
        <v>55.04</v>
      </c>
      <c r="I625" s="27">
        <f>(Table1[[#This Row],[SALE PRICE]]-Table1[[#This Row],[COST PRICE]])/Table1[[#This Row],[SALE PRICE]]</f>
        <v>0.17351017441860461</v>
      </c>
      <c r="J625" s="27" t="str">
        <f>IF(Table1[[#This Row],[MARGIN]]&lt;25%, "REVIEW", "OK")</f>
        <v>REVIEW</v>
      </c>
    </row>
    <row r="626" spans="1:10" ht="15.6" x14ac:dyDescent="0.3">
      <c r="A626" s="18" t="s">
        <v>698</v>
      </c>
      <c r="B626" s="12" t="s">
        <v>697</v>
      </c>
      <c r="C626" s="12" t="s">
        <v>1439</v>
      </c>
      <c r="D626" s="10" t="s">
        <v>8</v>
      </c>
      <c r="E626" s="10" t="s">
        <v>8</v>
      </c>
      <c r="F626" s="12" t="s">
        <v>8</v>
      </c>
      <c r="G626" s="46">
        <v>7.49</v>
      </c>
      <c r="H626" s="46" cm="1">
        <f t="array" ref="H626">ROUND(G626*IF(OR(MID(A626,5,3)={"BFF","PRK","FPL","LMB","FFI","MET","RIC","FLR","SUG","OIL","DRK","JCE","FEG"}),1.21,IF(OR(MID(A626,5,3)={"FVG","FFR"}),1.33,IF(OR(MID(A626,5,3)={"FBT","FCH","FMK","FYG","MLK","ICE","FRV","FPO","FRF","FCC","BRD"}),1.28,IF(OR(MID(A626,5,3)={"BIS","CRP","HRB","TUR","IND","HYG"}),1.38,1.31)))),2)</f>
        <v>9.06</v>
      </c>
      <c r="I626" s="29">
        <f>(Table1[[#This Row],[SALE PRICE]]-Table1[[#This Row],[COST PRICE]])/Table1[[#This Row],[SALE PRICE]]</f>
        <v>0.17328918322295808</v>
      </c>
      <c r="J626" s="26" t="str">
        <f>IF(Table1[[#This Row],[MARGIN]]&lt;25%, "REVIEW", "OK")</f>
        <v>REVIEW</v>
      </c>
    </row>
    <row r="627" spans="1:10" ht="15.6" x14ac:dyDescent="0.3">
      <c r="A627" s="18" t="s">
        <v>700</v>
      </c>
      <c r="B627" s="12" t="s">
        <v>1163</v>
      </c>
      <c r="C627" s="12" t="s">
        <v>1429</v>
      </c>
      <c r="D627" s="10"/>
      <c r="E627" s="10"/>
      <c r="F627" s="12"/>
      <c r="G627" s="46">
        <v>15.99</v>
      </c>
      <c r="H627" s="47" cm="1">
        <f t="array" ref="H627">ROUND(G627*IF(OR(MID(A627,5,3)={"BFF","PRK","FPL","LMB","FFI","MET","RIC","FLR","SUG","OIL","DRK","JCE","FEG"}),1.21,IF(OR(MID(A627,5,3)={"FVG","FFR"}),1.33,IF(OR(MID(A627,5,3)={"FBT","FCH","FMK","FYG","MLK","ICE","FRV","FPO","FRF","FCC","BRD"}),1.28,IF(OR(MID(A627,5,3)={"BIS","CRP","HRB","TUR","IND","HYG"}),1.38,1.31)))),2)</f>
        <v>19.350000000000001</v>
      </c>
      <c r="I627" s="27">
        <f>(Table1[[#This Row],[SALE PRICE]]-Table1[[#This Row],[COST PRICE]])/Table1[[#This Row],[SALE PRICE]]</f>
        <v>0.17364341085271323</v>
      </c>
      <c r="J627" s="27" t="str">
        <f>IF(Table1[[#This Row],[MARGIN]]&lt;25%, "REVIEW", "OK")</f>
        <v>REVIEW</v>
      </c>
    </row>
    <row r="628" spans="1:10" ht="15.6" x14ac:dyDescent="0.3">
      <c r="A628" s="18" t="s">
        <v>1049</v>
      </c>
      <c r="B628" s="13" t="s">
        <v>699</v>
      </c>
      <c r="C628" s="13" t="s">
        <v>1440</v>
      </c>
      <c r="D628" s="11" t="s">
        <v>8</v>
      </c>
      <c r="E628" s="11" t="s">
        <v>8</v>
      </c>
      <c r="F628" s="13" t="s">
        <v>8</v>
      </c>
      <c r="G628" s="47">
        <v>8.49</v>
      </c>
      <c r="H628" s="46" cm="1">
        <f t="array" ref="H628">ROUND(G628*IF(OR(MID(A628,5,3)={"BFF","PRK","FPL","LMB","FFI","MET","RIC","FLR","SUG","OIL","DRK","JCE","FEG"}),1.21,IF(OR(MID(A628,5,3)={"FVG","FFR"}),1.33,IF(OR(MID(A628,5,3)={"FBT","FCH","FMK","FYG","MLK","ICE","FRV","FPO","FRF","FCC","BRD"}),1.28,IF(OR(MID(A628,5,3)={"BIS","CRP","HRB","TUR","IND","HYG"}),1.38,1.31)))),2)</f>
        <v>10.27</v>
      </c>
      <c r="I628" s="29">
        <f>(Table1[[#This Row],[SALE PRICE]]-Table1[[#This Row],[COST PRICE]])/Table1[[#This Row],[SALE PRICE]]</f>
        <v>0.17332035053554035</v>
      </c>
      <c r="J628" s="26" t="str">
        <f>IF(Table1[[#This Row],[MARGIN]]&lt;25%, "REVIEW", "OK")</f>
        <v>REVIEW</v>
      </c>
    </row>
    <row r="629" spans="1:10" ht="15.6" x14ac:dyDescent="0.3">
      <c r="A629" s="18" t="s">
        <v>1164</v>
      </c>
      <c r="B629" s="12" t="s">
        <v>1165</v>
      </c>
      <c r="C629" s="12" t="s">
        <v>1430</v>
      </c>
      <c r="D629" s="10" t="s">
        <v>8</v>
      </c>
      <c r="E629" s="10" t="s">
        <v>8</v>
      </c>
      <c r="F629" s="12" t="s">
        <v>8</v>
      </c>
      <c r="G629" s="46">
        <v>3.99</v>
      </c>
      <c r="H629" s="47" cm="1">
        <f t="array" ref="H629">ROUND(G629*IF(OR(MID(A629,5,3)={"BFF","PRK","FPL","LMB","FFI","MET","RIC","FLR","SUG","OIL","DRK","JCE","FEG"}),1.21,IF(OR(MID(A629,5,3)={"FVG","FFR"}),1.33,IF(OR(MID(A629,5,3)={"FBT","FCH","FMK","FYG","MLK","ICE","FRV","FPO","FRF","FCC","BRD"}),1.28,IF(OR(MID(A629,5,3)={"BIS","CRP","HRB","TUR","IND","HYG"}),1.38,1.31)))),2)</f>
        <v>4.83</v>
      </c>
      <c r="I629" s="27">
        <f>(Table1[[#This Row],[SALE PRICE]]-Table1[[#This Row],[COST PRICE]])/Table1[[#This Row],[SALE PRICE]]</f>
        <v>0.17391304347826084</v>
      </c>
      <c r="J629" s="27" t="str">
        <f>IF(Table1[[#This Row],[MARGIN]]&lt;25%, "REVIEW", "OK")</f>
        <v>REVIEW</v>
      </c>
    </row>
    <row r="630" spans="1:10" s="1" customFormat="1" ht="15.6" x14ac:dyDescent="0.3">
      <c r="A630" s="16" t="s">
        <v>1369</v>
      </c>
      <c r="B630" s="2" t="s">
        <v>8</v>
      </c>
      <c r="C630" s="2"/>
      <c r="D630" s="2" t="s">
        <v>8</v>
      </c>
      <c r="E630" s="2" t="s">
        <v>8</v>
      </c>
      <c r="F630" s="2" t="s">
        <v>8</v>
      </c>
      <c r="G630" s="48" t="s">
        <v>8</v>
      </c>
      <c r="H630" s="48" t="e" cm="1">
        <f t="array" ref="H630">ROUND(G630*IF(OR(MID(A630,5,3)={"BFF","PRK","FPL","LMB","FFI","MET","RIC","FLR","SUG","OIL","DRK","JCE","FEG"}),1.21,IF(OR(MID(A630,5,3)={"FVG","FFR"}),1.33,IF(OR(MID(A630,5,3)={"FBT","FCH","FMK","FYG","MLK","ICE","FRV","FPO","FRF","FCC","BRD"}),1.28,IF(OR(MID(A630,5,3)={"BIS","CRP","HRB","TUR","IND","HYG"}),1.38,1.31)))),2)</f>
        <v>#VALUE!</v>
      </c>
      <c r="I630" s="19"/>
      <c r="J630" s="19"/>
    </row>
    <row r="631" spans="1:10" ht="15.6" x14ac:dyDescent="0.3">
      <c r="A631" s="18" t="s">
        <v>701</v>
      </c>
      <c r="B631" s="13" t="s">
        <v>1168</v>
      </c>
      <c r="C631" s="13" t="s">
        <v>1427</v>
      </c>
      <c r="D631" s="11" t="s">
        <v>8</v>
      </c>
      <c r="E631" s="11" t="s">
        <v>8</v>
      </c>
      <c r="F631" s="13" t="s">
        <v>8</v>
      </c>
      <c r="G631" s="47">
        <v>40.99</v>
      </c>
      <c r="H631" s="47" cm="1">
        <f t="array" ref="H631">ROUND(G631*IF(OR(MID(A631,5,3)={"BFF","PRK","FPL","LMB","FFI","MET","RIC","FLR","SUG","OIL","DRK","JCE","FEG"}),1.21,IF(OR(MID(A631,5,3)={"FVG","FFR"}),1.33,IF(OR(MID(A631,5,3)={"FBT","FCH","FMK","FYG","MLK","ICE","FRV","FPO","FRF","FCC","BRD"}),1.28,IF(OR(MID(A631,5,3)={"BIS","CRP","HRB","TUR","IND","HYG"}),1.38,1.31)))),2)</f>
        <v>49.6</v>
      </c>
      <c r="I631" s="27">
        <f>(Table1[[#This Row],[SALE PRICE]]-Table1[[#This Row],[COST PRICE]])/Table1[[#This Row],[SALE PRICE]]</f>
        <v>0.17358870967741935</v>
      </c>
      <c r="J631" s="27" t="str">
        <f>IF(Table1[[#This Row],[MARGIN]]&lt;25%, "REVIEW", "OK")</f>
        <v>REVIEW</v>
      </c>
    </row>
    <row r="632" spans="1:10" ht="15.6" x14ac:dyDescent="0.3">
      <c r="A632" s="17" t="s">
        <v>702</v>
      </c>
      <c r="B632" s="12" t="s">
        <v>1886</v>
      </c>
      <c r="C632" s="12" t="s">
        <v>1439</v>
      </c>
      <c r="D632" s="10" t="s">
        <v>8</v>
      </c>
      <c r="E632" s="10" t="s">
        <v>8</v>
      </c>
      <c r="F632" s="12" t="s">
        <v>1166</v>
      </c>
      <c r="G632" s="46">
        <v>25.99</v>
      </c>
      <c r="H632" s="46" cm="1">
        <f t="array" ref="H632">ROUND(G632*IF(OR(MID(A632,5,3)={"BFF","PRK","FPL","LMB","FFI","MET","RIC","FLR","SUG","OIL","DRK","JCE","FEG"}),1.21,IF(OR(MID(A632,5,3)={"FVG","FFR"}),1.33,IF(OR(MID(A632,5,3)={"FBT","FCH","FMK","FYG","MLK","ICE","FRV","FPO","FRF","FCC","BRD"}),1.28,IF(OR(MID(A632,5,3)={"BIS","CRP","HRB","TUR","IND","HYG"}),1.38,1.31)))),2)</f>
        <v>31.45</v>
      </c>
      <c r="I632" s="29">
        <f>(Table1[[#This Row],[SALE PRICE]]-Table1[[#This Row],[COST PRICE]])/Table1[[#This Row],[SALE PRICE]]</f>
        <v>0.17360890302066775</v>
      </c>
      <c r="J632" s="26" t="str">
        <f>IF(Table1[[#This Row],[MARGIN]]&lt;25%, "REVIEW", "OK")</f>
        <v>REVIEW</v>
      </c>
    </row>
    <row r="633" spans="1:10" ht="15.6" x14ac:dyDescent="0.3">
      <c r="A633" s="18" t="s">
        <v>703</v>
      </c>
      <c r="B633" s="13" t="s">
        <v>1167</v>
      </c>
      <c r="C633" s="13" t="s">
        <v>1439</v>
      </c>
      <c r="D633" s="11" t="s">
        <v>8</v>
      </c>
      <c r="E633" s="11" t="s">
        <v>8</v>
      </c>
      <c r="F633" s="13" t="s">
        <v>8</v>
      </c>
      <c r="G633" s="47">
        <v>4.99</v>
      </c>
      <c r="H633" s="47" cm="1">
        <f t="array" ref="H633">ROUND(G633*IF(OR(MID(A633,5,3)={"BFF","PRK","FPL","LMB","FFI","MET","RIC","FLR","SUG","OIL","DRK","JCE","FEG"}),1.21,IF(OR(MID(A633,5,3)={"FVG","FFR"}),1.33,IF(OR(MID(A633,5,3)={"FBT","FCH","FMK","FYG","MLK","ICE","FRV","FPO","FRF","FCC","BRD"}),1.28,IF(OR(MID(A633,5,3)={"BIS","CRP","HRB","TUR","IND","HYG"}),1.38,1.31)))),2)</f>
        <v>6.04</v>
      </c>
      <c r="I633" s="27">
        <f>(Table1[[#This Row],[SALE PRICE]]-Table1[[#This Row],[COST PRICE]])/Table1[[#This Row],[SALE PRICE]]</f>
        <v>0.17384105960264898</v>
      </c>
      <c r="J633" s="27" t="str">
        <f>IF(Table1[[#This Row],[MARGIN]]&lt;25%, "REVIEW", "OK")</f>
        <v>REVIEW</v>
      </c>
    </row>
    <row r="634" spans="1:10" ht="15.6" x14ac:dyDescent="0.3">
      <c r="A634" s="17" t="s">
        <v>704</v>
      </c>
      <c r="B634" s="12" t="s">
        <v>1169</v>
      </c>
      <c r="C634" s="12" t="s">
        <v>1429</v>
      </c>
      <c r="D634" s="10" t="s">
        <v>8</v>
      </c>
      <c r="E634" s="10" t="s">
        <v>8</v>
      </c>
      <c r="F634" s="12" t="s">
        <v>8</v>
      </c>
      <c r="G634" s="46">
        <v>18.79</v>
      </c>
      <c r="H634" s="46" cm="1">
        <f t="array" ref="H634">ROUND(G634*IF(OR(MID(A634,5,3)={"BFF","PRK","FPL","LMB","FFI","MET","RIC","FLR","SUG","OIL","DRK","JCE","FEG"}),1.21,IF(OR(MID(A634,5,3)={"FVG","FFR"}),1.33,IF(OR(MID(A634,5,3)={"FBT","FCH","FMK","FYG","MLK","ICE","FRV","FPO","FRF","FCC","BRD"}),1.28,IF(OR(MID(A634,5,3)={"BIS","CRP","HRB","TUR","IND","HYG"}),1.38,1.31)))),2)</f>
        <v>22.74</v>
      </c>
      <c r="I634" s="29">
        <f>(Table1[[#This Row],[SALE PRICE]]-Table1[[#This Row],[COST PRICE]])/Table1[[#This Row],[SALE PRICE]]</f>
        <v>0.173702726473175</v>
      </c>
      <c r="J634" s="26" t="str">
        <f>IF(Table1[[#This Row],[MARGIN]]&lt;25%, "REVIEW", "OK")</f>
        <v>REVIEW</v>
      </c>
    </row>
    <row r="635" spans="1:10" ht="15.6" x14ac:dyDescent="0.3">
      <c r="A635" s="18" t="s">
        <v>705</v>
      </c>
      <c r="B635" s="13" t="s">
        <v>1170</v>
      </c>
      <c r="C635" s="13" t="s">
        <v>1427</v>
      </c>
      <c r="D635" s="11" t="s">
        <v>8</v>
      </c>
      <c r="E635" s="11" t="s">
        <v>8</v>
      </c>
      <c r="F635" s="13" t="s">
        <v>8</v>
      </c>
      <c r="G635" s="47">
        <v>22.99</v>
      </c>
      <c r="H635" s="47" cm="1">
        <f t="array" ref="H635">ROUND(G635*IF(OR(MID(A635,5,3)={"BFF","PRK","FPL","LMB","FFI","MET","RIC","FLR","SUG","OIL","DRK","JCE","FEG"}),1.21,IF(OR(MID(A635,5,3)={"FVG","FFR"}),1.33,IF(OR(MID(A635,5,3)={"FBT","FCH","FMK","FYG","MLK","ICE","FRV","FPO","FRF","FCC","BRD"}),1.28,IF(OR(MID(A635,5,3)={"BIS","CRP","HRB","TUR","IND","HYG"}),1.38,1.31)))),2)</f>
        <v>27.82</v>
      </c>
      <c r="I635" s="27">
        <f>(Table1[[#This Row],[SALE PRICE]]-Table1[[#This Row],[COST PRICE]])/Table1[[#This Row],[SALE PRICE]]</f>
        <v>0.17361610352264564</v>
      </c>
      <c r="J635" s="27" t="str">
        <f>IF(Table1[[#This Row],[MARGIN]]&lt;25%, "REVIEW", "OK")</f>
        <v>REVIEW</v>
      </c>
    </row>
    <row r="636" spans="1:10" ht="15.6" x14ac:dyDescent="0.3">
      <c r="A636" s="18" t="s">
        <v>706</v>
      </c>
      <c r="B636" s="13" t="s">
        <v>1194</v>
      </c>
      <c r="C636" s="13" t="s">
        <v>1439</v>
      </c>
      <c r="D636" s="11" t="s">
        <v>1195</v>
      </c>
      <c r="E636" s="11"/>
      <c r="F636" s="13" t="s">
        <v>1166</v>
      </c>
      <c r="G636" s="47">
        <v>11.2</v>
      </c>
      <c r="H636" s="46" cm="1">
        <f t="array" ref="H636">ROUND(G636*IF(OR(MID(A636,5,3)={"BFF","PRK","FPL","LMB","FFI","MET","RIC","FLR","SUG","OIL","DRK","JCE","FEG"}),1.21,IF(OR(MID(A636,5,3)={"FVG","FFR"}),1.33,IF(OR(MID(A636,5,3)={"FBT","FCH","FMK","FYG","MLK","ICE","FRV","FPO","FRF","FCC","BRD"}),1.28,IF(OR(MID(A636,5,3)={"BIS","CRP","HRB","TUR","IND","HYG"}),1.38,1.31)))),2)</f>
        <v>13.55</v>
      </c>
      <c r="I636" s="29">
        <f>(Table1[[#This Row],[SALE PRICE]]-Table1[[#This Row],[COST PRICE]])/Table1[[#This Row],[SALE PRICE]]</f>
        <v>0.17343173431734327</v>
      </c>
      <c r="J636" s="26" t="str">
        <f>IF(Table1[[#This Row],[MARGIN]]&lt;25%, "REVIEW", "OK")</f>
        <v>REVIEW</v>
      </c>
    </row>
    <row r="637" spans="1:10" ht="15.6" x14ac:dyDescent="0.3">
      <c r="A637" s="18" t="s">
        <v>707</v>
      </c>
      <c r="B637" s="13" t="s">
        <v>1887</v>
      </c>
      <c r="C637" s="13" t="s">
        <v>1439</v>
      </c>
      <c r="D637" s="11" t="s">
        <v>8</v>
      </c>
      <c r="E637" s="11" t="s">
        <v>8</v>
      </c>
      <c r="F637" s="13" t="s">
        <v>1166</v>
      </c>
      <c r="G637" s="47">
        <v>15.99</v>
      </c>
      <c r="H637" s="47" cm="1">
        <f t="array" ref="H637">ROUND(G637*IF(OR(MID(A637,5,3)={"BFF","PRK","FPL","LMB","FFI","MET","RIC","FLR","SUG","OIL","DRK","JCE","FEG"}),1.21,IF(OR(MID(A637,5,3)={"FVG","FFR"}),1.33,IF(OR(MID(A637,5,3)={"FBT","FCH","FMK","FYG","MLK","ICE","FRV","FPO","FRF","FCC","BRD"}),1.28,IF(OR(MID(A637,5,3)={"BIS","CRP","HRB","TUR","IND","HYG"}),1.38,1.31)))),2)</f>
        <v>19.350000000000001</v>
      </c>
      <c r="I637" s="27">
        <f>(Table1[[#This Row],[SALE PRICE]]-Table1[[#This Row],[COST PRICE]])/Table1[[#This Row],[SALE PRICE]]</f>
        <v>0.17364341085271323</v>
      </c>
      <c r="J637" s="27" t="str">
        <f>IF(Table1[[#This Row],[MARGIN]]&lt;25%, "REVIEW", "OK")</f>
        <v>REVIEW</v>
      </c>
    </row>
    <row r="638" spans="1:10" ht="15.6" x14ac:dyDescent="0.3">
      <c r="A638" s="18" t="s">
        <v>709</v>
      </c>
      <c r="B638" s="12" t="s">
        <v>708</v>
      </c>
      <c r="C638" s="12" t="s">
        <v>1439</v>
      </c>
      <c r="D638" s="10" t="s">
        <v>1195</v>
      </c>
      <c r="E638" s="10" t="s">
        <v>8</v>
      </c>
      <c r="F638" s="12" t="s">
        <v>1166</v>
      </c>
      <c r="G638" s="46">
        <v>5.88</v>
      </c>
      <c r="H638" s="46" cm="1">
        <f t="array" ref="H638">ROUND(G638*IF(OR(MID(A638,5,3)={"BFF","PRK","FPL","LMB","FFI","MET","RIC","FLR","SUG","OIL","DRK","JCE","FEG"}),1.21,IF(OR(MID(A638,5,3)={"FVG","FFR"}),1.33,IF(OR(MID(A638,5,3)={"FBT","FCH","FMK","FYG","MLK","ICE","FRV","FPO","FRF","FCC","BRD"}),1.28,IF(OR(MID(A638,5,3)={"BIS","CRP","HRB","TUR","IND","HYG"}),1.38,1.31)))),2)</f>
        <v>7.11</v>
      </c>
      <c r="I638" s="29">
        <f>(Table1[[#This Row],[SALE PRICE]]-Table1[[#This Row],[COST PRICE]])/Table1[[#This Row],[SALE PRICE]]</f>
        <v>0.17299578059071735</v>
      </c>
      <c r="J638" s="26" t="str">
        <f>IF(Table1[[#This Row],[MARGIN]]&lt;25%, "REVIEW", "OK")</f>
        <v>REVIEW</v>
      </c>
    </row>
    <row r="639" spans="1:10" ht="15.6" x14ac:dyDescent="0.3">
      <c r="A639" s="18" t="s">
        <v>711</v>
      </c>
      <c r="B639" s="13" t="s">
        <v>710</v>
      </c>
      <c r="C639" s="13" t="s">
        <v>1439</v>
      </c>
      <c r="D639" s="11" t="s">
        <v>1171</v>
      </c>
      <c r="E639" s="11" t="s">
        <v>8</v>
      </c>
      <c r="F639" s="13" t="s">
        <v>1166</v>
      </c>
      <c r="G639" s="47">
        <v>10.99</v>
      </c>
      <c r="H639" s="47" cm="1">
        <f t="array" ref="H639">ROUND(G639*IF(OR(MID(A639,5,3)={"BFF","PRK","FPL","LMB","FFI","MET","RIC","FLR","SUG","OIL","DRK","JCE","FEG"}),1.21,IF(OR(MID(A639,5,3)={"FVG","FFR"}),1.33,IF(OR(MID(A639,5,3)={"FBT","FCH","FMK","FYG","MLK","ICE","FRV","FPO","FRF","FCC","BRD"}),1.28,IF(OR(MID(A639,5,3)={"BIS","CRP","HRB","TUR","IND","HYG"}),1.38,1.31)))),2)</f>
        <v>13.3</v>
      </c>
      <c r="I639" s="27">
        <f>(Table1[[#This Row],[SALE PRICE]]-Table1[[#This Row],[COST PRICE]])/Table1[[#This Row],[SALE PRICE]]</f>
        <v>0.17368421052631583</v>
      </c>
      <c r="J639" s="27" t="str">
        <f>IF(Table1[[#This Row],[MARGIN]]&lt;25%, "REVIEW", "OK")</f>
        <v>REVIEW</v>
      </c>
    </row>
    <row r="640" spans="1:10" ht="15.6" x14ac:dyDescent="0.3">
      <c r="A640" s="18" t="s">
        <v>713</v>
      </c>
      <c r="B640" s="12" t="s">
        <v>712</v>
      </c>
      <c r="C640" s="12" t="s">
        <v>1439</v>
      </c>
      <c r="D640" s="10" t="s">
        <v>1195</v>
      </c>
      <c r="E640" s="10" t="s">
        <v>8</v>
      </c>
      <c r="F640" s="12" t="s">
        <v>1166</v>
      </c>
      <c r="G640" s="46">
        <v>7.99</v>
      </c>
      <c r="H640" s="46" cm="1">
        <f t="array" ref="H640">ROUND(G640*IF(OR(MID(A640,5,3)={"BFF","PRK","FPL","LMB","FFI","MET","RIC","FLR","SUG","OIL","DRK","JCE","FEG"}),1.21,IF(OR(MID(A640,5,3)={"FVG","FFR"}),1.33,IF(OR(MID(A640,5,3)={"FBT","FCH","FMK","FYG","MLK","ICE","FRV","FPO","FRF","FCC","BRD"}),1.28,IF(OR(MID(A640,5,3)={"BIS","CRP","HRB","TUR","IND","HYG"}),1.38,1.31)))),2)</f>
        <v>9.67</v>
      </c>
      <c r="I640" s="29">
        <f>(Table1[[#This Row],[SALE PRICE]]-Table1[[#This Row],[COST PRICE]])/Table1[[#This Row],[SALE PRICE]]</f>
        <v>0.17373319544984486</v>
      </c>
      <c r="J640" s="26" t="str">
        <f>IF(Table1[[#This Row],[MARGIN]]&lt;25%, "REVIEW", "OK")</f>
        <v>REVIEW</v>
      </c>
    </row>
    <row r="641" spans="1:10" ht="15.6" x14ac:dyDescent="0.3">
      <c r="A641" s="18" t="s">
        <v>714</v>
      </c>
      <c r="B641" s="13" t="s">
        <v>1888</v>
      </c>
      <c r="C641" s="13" t="s">
        <v>1439</v>
      </c>
      <c r="D641" s="11" t="s">
        <v>8</v>
      </c>
      <c r="E641" s="11" t="s">
        <v>8</v>
      </c>
      <c r="F641" s="13" t="s">
        <v>1166</v>
      </c>
      <c r="G641" s="47">
        <v>17.989999999999998</v>
      </c>
      <c r="H641" s="47" cm="1">
        <f t="array" ref="H641">ROUND(G641*IF(OR(MID(A641,5,3)={"BFF","PRK","FPL","LMB","FFI","MET","RIC","FLR","SUG","OIL","DRK","JCE","FEG"}),1.21,IF(OR(MID(A641,5,3)={"FVG","FFR"}),1.33,IF(OR(MID(A641,5,3)={"FBT","FCH","FMK","FYG","MLK","ICE","FRV","FPO","FRF","FCC","BRD"}),1.28,IF(OR(MID(A641,5,3)={"BIS","CRP","HRB","TUR","IND","HYG"}),1.38,1.31)))),2)</f>
        <v>21.77</v>
      </c>
      <c r="I641" s="27">
        <f>(Table1[[#This Row],[SALE PRICE]]-Table1[[#This Row],[COST PRICE]])/Table1[[#This Row],[SALE PRICE]]</f>
        <v>0.17363344051446952</v>
      </c>
      <c r="J641" s="27" t="str">
        <f>IF(Table1[[#This Row],[MARGIN]]&lt;25%, "REVIEW", "OK")</f>
        <v>REVIEW</v>
      </c>
    </row>
    <row r="642" spans="1:10" ht="15.6" x14ac:dyDescent="0.3">
      <c r="A642" s="18" t="s">
        <v>1197</v>
      </c>
      <c r="B642" s="12" t="s">
        <v>715</v>
      </c>
      <c r="C642" s="12" t="s">
        <v>1439</v>
      </c>
      <c r="D642" s="10" t="s">
        <v>1393</v>
      </c>
      <c r="E642" s="10" t="s">
        <v>8</v>
      </c>
      <c r="F642" s="12" t="s">
        <v>1166</v>
      </c>
      <c r="G642" s="46">
        <v>4.99</v>
      </c>
      <c r="H642" s="46" cm="1">
        <f t="array" ref="H642">ROUND(G642*IF(OR(MID(A642,5,3)={"BFF","PRK","FPL","LMB","FFI","MET","RIC","FLR","SUG","OIL","DRK","JCE","FEG"}),1.21,IF(OR(MID(A642,5,3)={"FVG","FFR"}),1.33,IF(OR(MID(A642,5,3)={"FBT","FCH","FMK","FYG","MLK","ICE","FRV","FPO","FRF","FCC","BRD"}),1.28,IF(OR(MID(A642,5,3)={"BIS","CRP","HRB","TUR","IND","HYG"}),1.38,1.31)))),2)</f>
        <v>6.04</v>
      </c>
      <c r="I642" s="29">
        <f>(Table1[[#This Row],[SALE PRICE]]-Table1[[#This Row],[COST PRICE]])/Table1[[#This Row],[SALE PRICE]]</f>
        <v>0.17384105960264898</v>
      </c>
      <c r="J642" s="26" t="str">
        <f>IF(Table1[[#This Row],[MARGIN]]&lt;25%, "REVIEW", "OK")</f>
        <v>REVIEW</v>
      </c>
    </row>
    <row r="643" spans="1:10" ht="15.6" x14ac:dyDescent="0.3">
      <c r="A643" s="18" t="s">
        <v>1198</v>
      </c>
      <c r="B643" s="12" t="s">
        <v>1196</v>
      </c>
      <c r="C643" s="12" t="s">
        <v>1439</v>
      </c>
      <c r="D643" s="10" t="s">
        <v>1195</v>
      </c>
      <c r="E643" s="10"/>
      <c r="F643" s="12" t="s">
        <v>1166</v>
      </c>
      <c r="G643" s="46">
        <v>1.7</v>
      </c>
      <c r="H643" s="47" cm="1">
        <f t="array" ref="H643">ROUND(G643*IF(OR(MID(A643,5,3)={"BFF","PRK","FPL","LMB","FFI","MET","RIC","FLR","SUG","OIL","DRK","JCE","FEG"}),1.21,IF(OR(MID(A643,5,3)={"FVG","FFR"}),1.33,IF(OR(MID(A643,5,3)={"FBT","FCH","FMK","FYG","MLK","ICE","FRV","FPO","FRF","FCC","BRD"}),1.28,IF(OR(MID(A643,5,3)={"BIS","CRP","HRB","TUR","IND","HYG"}),1.38,1.31)))),2)</f>
        <v>2.06</v>
      </c>
      <c r="I643" s="27">
        <f>(Table1[[#This Row],[SALE PRICE]]-Table1[[#This Row],[COST PRICE]])/Table1[[#This Row],[SALE PRICE]]</f>
        <v>0.17475728155339809</v>
      </c>
      <c r="J643" s="27" t="str">
        <f>IF(Table1[[#This Row],[MARGIN]]&lt;25%, "REVIEW", "OK")</f>
        <v>REVIEW</v>
      </c>
    </row>
    <row r="644" spans="1:10" s="1" customFormat="1" ht="15.6" x14ac:dyDescent="0.3">
      <c r="A644" s="16" t="s">
        <v>1368</v>
      </c>
      <c r="B644" s="2" t="s">
        <v>8</v>
      </c>
      <c r="C644" s="2"/>
      <c r="D644" s="2" t="s">
        <v>8</v>
      </c>
      <c r="E644" s="2" t="s">
        <v>8</v>
      </c>
      <c r="F644" s="2" t="s">
        <v>8</v>
      </c>
      <c r="G644" s="48" t="s">
        <v>8</v>
      </c>
      <c r="H644" s="48" t="e" cm="1">
        <f t="array" ref="H644">ROUND(G644*IF(OR(MID(A644,5,3)={"BFF","PRK","FPL","LMB","FFI","MET","RIC","FLR","SUG","OIL","DRK","JCE","FEG"}),1.21,IF(OR(MID(A644,5,3)={"FVG","FFR"}),1.33,IF(OR(MID(A644,5,3)={"FBT","FCH","FMK","FYG","MLK","ICE","FRV","FPO","FRF","FCC","BRD"}),1.28,IF(OR(MID(A644,5,3)={"BIS","CRP","HRB","TUR","IND","HYG"}),1.38,1.31)))),2)</f>
        <v>#VALUE!</v>
      </c>
      <c r="I644" s="19"/>
      <c r="J644" s="19"/>
    </row>
    <row r="645" spans="1:10" ht="15.6" x14ac:dyDescent="0.3">
      <c r="A645" s="18" t="s">
        <v>716</v>
      </c>
      <c r="B645" s="13" t="s">
        <v>1199</v>
      </c>
      <c r="C645" s="13" t="s">
        <v>1439</v>
      </c>
      <c r="D645" s="11" t="s">
        <v>8</v>
      </c>
      <c r="E645" s="11" t="s">
        <v>8</v>
      </c>
      <c r="F645" s="13"/>
      <c r="G645" s="47">
        <v>3.77</v>
      </c>
      <c r="H645" s="47" cm="1">
        <f t="array" ref="H645">ROUND(G645*IF(OR(MID(A645,5,3)={"BFF","PRK","FPL","LMB","FFI","MET","RIC","FLR","SUG","OIL","DRK","JCE","FEG"}),1.21,IF(OR(MID(A645,5,3)={"FVG","FFR"}),1.33,IF(OR(MID(A645,5,3)={"FBT","FCH","FMK","FYG","MLK","ICE","FRV","FPO","FRF","FCC","BRD"}),1.28,IF(OR(MID(A645,5,3)={"BIS","CRP","HRB","TUR","IND","HYG"}),1.38,1.31)))),2)</f>
        <v>4.5599999999999996</v>
      </c>
      <c r="I645" s="27">
        <f>(Table1[[#This Row],[SALE PRICE]]-Table1[[#This Row],[COST PRICE]])/Table1[[#This Row],[SALE PRICE]]</f>
        <v>0.17324561403508765</v>
      </c>
      <c r="J645" s="27" t="str">
        <f>IF(Table1[[#This Row],[MARGIN]]&lt;25%, "REVIEW", "OK")</f>
        <v>REVIEW</v>
      </c>
    </row>
    <row r="646" spans="1:10" ht="15.6" x14ac:dyDescent="0.3">
      <c r="A646" s="18" t="s">
        <v>717</v>
      </c>
      <c r="B646" s="13" t="s">
        <v>1200</v>
      </c>
      <c r="C646" s="13" t="s">
        <v>1439</v>
      </c>
      <c r="D646" s="11"/>
      <c r="E646" s="11"/>
      <c r="F646" s="13"/>
      <c r="G646" s="47">
        <v>3.62</v>
      </c>
      <c r="H646" s="46" cm="1">
        <f t="array" ref="H646">ROUND(G646*IF(OR(MID(A646,5,3)={"BFF","PRK","FPL","LMB","FFI","MET","RIC","FLR","SUG","OIL","DRK","JCE","FEG"}),1.21,IF(OR(MID(A646,5,3)={"FVG","FFR"}),1.33,IF(OR(MID(A646,5,3)={"FBT","FCH","FMK","FYG","MLK","ICE","FRV","FPO","FRF","FCC","BRD"}),1.28,IF(OR(MID(A646,5,3)={"BIS","CRP","HRB","TUR","IND","HYG"}),1.38,1.31)))),2)</f>
        <v>4.38</v>
      </c>
      <c r="I646" s="29">
        <f>(Table1[[#This Row],[SALE PRICE]]-Table1[[#This Row],[COST PRICE]])/Table1[[#This Row],[SALE PRICE]]</f>
        <v>0.17351598173515978</v>
      </c>
      <c r="J646" s="26" t="str">
        <f>IF(Table1[[#This Row],[MARGIN]]&lt;25%, "REVIEW", "OK")</f>
        <v>REVIEW</v>
      </c>
    </row>
    <row r="647" spans="1:10" ht="15.6" x14ac:dyDescent="0.3">
      <c r="A647" s="18" t="s">
        <v>718</v>
      </c>
      <c r="B647" s="12" t="s">
        <v>1172</v>
      </c>
      <c r="C647" s="12" t="s">
        <v>1427</v>
      </c>
      <c r="D647" s="10" t="s">
        <v>8</v>
      </c>
      <c r="E647" s="10" t="s">
        <v>8</v>
      </c>
      <c r="F647" s="12"/>
      <c r="G647" s="46">
        <v>62.99</v>
      </c>
      <c r="H647" s="47" cm="1">
        <f t="array" ref="H647">ROUND(G647*IF(OR(MID(A647,5,3)={"BFF","PRK","FPL","LMB","FFI","MET","RIC","FLR","SUG","OIL","DRK","JCE","FEG"}),1.21,IF(OR(MID(A647,5,3)={"FVG","FFR"}),1.33,IF(OR(MID(A647,5,3)={"FBT","FCH","FMK","FYG","MLK","ICE","FRV","FPO","FRF","FCC","BRD"}),1.28,IF(OR(MID(A647,5,3)={"BIS","CRP","HRB","TUR","IND","HYG"}),1.38,1.31)))),2)</f>
        <v>76.22</v>
      </c>
      <c r="I647" s="27">
        <f>(Table1[[#This Row],[SALE PRICE]]-Table1[[#This Row],[COST PRICE]])/Table1[[#This Row],[SALE PRICE]]</f>
        <v>0.17357648911046966</v>
      </c>
      <c r="J647" s="27" t="str">
        <f>IF(Table1[[#This Row],[MARGIN]]&lt;25%, "REVIEW", "OK")</f>
        <v>REVIEW</v>
      </c>
    </row>
    <row r="648" spans="1:10" ht="15.6" x14ac:dyDescent="0.3">
      <c r="A648" s="18" t="s">
        <v>1284</v>
      </c>
      <c r="B648" s="12" t="s">
        <v>1173</v>
      </c>
      <c r="C648" s="12" t="s">
        <v>1439</v>
      </c>
      <c r="D648" s="10" t="s">
        <v>8</v>
      </c>
      <c r="E648" s="10" t="s">
        <v>8</v>
      </c>
      <c r="F648" s="12"/>
      <c r="G648" s="46">
        <v>3.99</v>
      </c>
      <c r="H648" s="46" cm="1">
        <f t="array" ref="H648">ROUND(G648*IF(OR(MID(A648,5,3)={"BFF","PRK","FPL","LMB","FFI","MET","RIC","FLR","SUG","OIL","DRK","JCE","FEG"}),1.21,IF(OR(MID(A648,5,3)={"FVG","FFR"}),1.33,IF(OR(MID(A648,5,3)={"FBT","FCH","FMK","FYG","MLK","ICE","FRV","FPO","FRF","FCC","BRD"}),1.28,IF(OR(MID(A648,5,3)={"BIS","CRP","HRB","TUR","IND","HYG"}),1.38,1.31)))),2)</f>
        <v>4.83</v>
      </c>
      <c r="I648" s="29">
        <f>(Table1[[#This Row],[SALE PRICE]]-Table1[[#This Row],[COST PRICE]])/Table1[[#This Row],[SALE PRICE]]</f>
        <v>0.17391304347826084</v>
      </c>
      <c r="J648" s="26" t="str">
        <f>IF(Table1[[#This Row],[MARGIN]]&lt;25%, "REVIEW", "OK")</f>
        <v>REVIEW</v>
      </c>
    </row>
    <row r="649" spans="1:10" ht="15.6" x14ac:dyDescent="0.3">
      <c r="A649" s="18" t="s">
        <v>719</v>
      </c>
      <c r="B649" s="13" t="s">
        <v>1174</v>
      </c>
      <c r="C649" s="13" t="s">
        <v>1439</v>
      </c>
      <c r="D649" s="11" t="s">
        <v>8</v>
      </c>
      <c r="E649" s="11" t="s">
        <v>8</v>
      </c>
      <c r="F649" s="13"/>
      <c r="G649" s="47">
        <v>5.13</v>
      </c>
      <c r="H649" s="47" cm="1">
        <f t="array" ref="H649">ROUND(G649*IF(OR(MID(A649,5,3)={"BFF","PRK","FPL","LMB","FFI","MET","RIC","FLR","SUG","OIL","DRK","JCE","FEG"}),1.21,IF(OR(MID(A649,5,3)={"FVG","FFR"}),1.33,IF(OR(MID(A649,5,3)={"FBT","FCH","FMK","FYG","MLK","ICE","FRV","FPO","FRF","FCC","BRD"}),1.28,IF(OR(MID(A649,5,3)={"BIS","CRP","HRB","TUR","IND","HYG"}),1.38,1.31)))),2)</f>
        <v>6.21</v>
      </c>
      <c r="I649" s="27">
        <f>(Table1[[#This Row],[SALE PRICE]]-Table1[[#This Row],[COST PRICE]])/Table1[[#This Row],[SALE PRICE]]</f>
        <v>0.17391304347826089</v>
      </c>
      <c r="J649" s="27" t="str">
        <f>IF(Table1[[#This Row],[MARGIN]]&lt;25%, "REVIEW", "OK")</f>
        <v>REVIEW</v>
      </c>
    </row>
    <row r="650" spans="1:10" ht="15.6" x14ac:dyDescent="0.3">
      <c r="A650" s="18" t="s">
        <v>1285</v>
      </c>
      <c r="B650" s="12" t="s">
        <v>1201</v>
      </c>
      <c r="C650" s="12" t="s">
        <v>1427</v>
      </c>
      <c r="D650" s="10"/>
      <c r="E650" s="10"/>
      <c r="F650" s="12"/>
      <c r="G650" s="46">
        <v>29</v>
      </c>
      <c r="H650" s="46" cm="1">
        <f t="array" ref="H650">ROUND(G650*IF(OR(MID(A650,5,3)={"BFF","PRK","FPL","LMB","FFI","MET","RIC","FLR","SUG","OIL","DRK","JCE","FEG"}),1.21,IF(OR(MID(A650,5,3)={"FVG","FFR"}),1.33,IF(OR(MID(A650,5,3)={"FBT","FCH","FMK","FYG","MLK","ICE","FRV","FPO","FRF","FCC","BRD"}),1.28,IF(OR(MID(A650,5,3)={"BIS","CRP","HRB","TUR","IND","HYG"}),1.38,1.31)))),2)</f>
        <v>35.090000000000003</v>
      </c>
      <c r="I650" s="29">
        <f>(Table1[[#This Row],[SALE PRICE]]-Table1[[#This Row],[COST PRICE]])/Table1[[#This Row],[SALE PRICE]]</f>
        <v>0.17355371900826455</v>
      </c>
      <c r="J650" s="26" t="str">
        <f>IF(Table1[[#This Row],[MARGIN]]&lt;25%, "REVIEW", "OK")</f>
        <v>REVIEW</v>
      </c>
    </row>
    <row r="651" spans="1:10" ht="15.6" x14ac:dyDescent="0.3">
      <c r="A651" s="18" t="s">
        <v>1286</v>
      </c>
      <c r="B651" s="13" t="s">
        <v>1202</v>
      </c>
      <c r="C651" s="13" t="s">
        <v>1439</v>
      </c>
      <c r="D651" s="11"/>
      <c r="E651" s="11"/>
      <c r="F651" s="13"/>
      <c r="G651" s="47">
        <v>4.2</v>
      </c>
      <c r="H651" s="47" cm="1">
        <f t="array" ref="H651">ROUND(G651*IF(OR(MID(A651,5,3)={"BFF","PRK","FPL","LMB","FFI","MET","RIC","FLR","SUG","OIL","DRK","JCE","FEG"}),1.21,IF(OR(MID(A651,5,3)={"FVG","FFR"}),1.33,IF(OR(MID(A651,5,3)={"FBT","FCH","FMK","FYG","MLK","ICE","FRV","FPO","FRF","FCC","BRD"}),1.28,IF(OR(MID(A651,5,3)={"BIS","CRP","HRB","TUR","IND","HYG"}),1.38,1.31)))),2)</f>
        <v>5.08</v>
      </c>
      <c r="I651" s="27">
        <f>(Table1[[#This Row],[SALE PRICE]]-Table1[[#This Row],[COST PRICE]])/Table1[[#This Row],[SALE PRICE]]</f>
        <v>0.17322834645669288</v>
      </c>
      <c r="J651" s="27" t="str">
        <f>IF(Table1[[#This Row],[MARGIN]]&lt;25%, "REVIEW", "OK")</f>
        <v>REVIEW</v>
      </c>
    </row>
    <row r="652" spans="1:10" ht="15.6" x14ac:dyDescent="0.3">
      <c r="A652" s="18" t="s">
        <v>1287</v>
      </c>
      <c r="B652" s="12" t="s">
        <v>1203</v>
      </c>
      <c r="C652" s="12" t="s">
        <v>1439</v>
      </c>
      <c r="D652" s="10"/>
      <c r="E652" s="10"/>
      <c r="F652" s="12"/>
      <c r="G652" s="46">
        <v>3.85</v>
      </c>
      <c r="H652" s="46" cm="1">
        <f t="array" ref="H652">ROUND(G652*IF(OR(MID(A652,5,3)={"BFF","PRK","FPL","LMB","FFI","MET","RIC","FLR","SUG","OIL","DRK","JCE","FEG"}),1.21,IF(OR(MID(A652,5,3)={"FVG","FFR"}),1.33,IF(OR(MID(A652,5,3)={"FBT","FCH","FMK","FYG","MLK","ICE","FRV","FPO","FRF","FCC","BRD"}),1.28,IF(OR(MID(A652,5,3)={"BIS","CRP","HRB","TUR","IND","HYG"}),1.38,1.31)))),2)</f>
        <v>4.66</v>
      </c>
      <c r="I652" s="29">
        <f>(Table1[[#This Row],[SALE PRICE]]-Table1[[#This Row],[COST PRICE]])/Table1[[#This Row],[SALE PRICE]]</f>
        <v>0.1738197424892704</v>
      </c>
      <c r="J652" s="26" t="str">
        <f>IF(Table1[[#This Row],[MARGIN]]&lt;25%, "REVIEW", "OK")</f>
        <v>REVIEW</v>
      </c>
    </row>
    <row r="653" spans="1:10" ht="15.6" x14ac:dyDescent="0.3">
      <c r="A653" s="18" t="s">
        <v>1288</v>
      </c>
      <c r="B653" s="13" t="s">
        <v>1204</v>
      </c>
      <c r="C653" s="13" t="s">
        <v>1430</v>
      </c>
      <c r="D653" s="11"/>
      <c r="E653" s="11"/>
      <c r="F653" s="13"/>
      <c r="G653" s="47">
        <v>13.5</v>
      </c>
      <c r="H653" s="47" cm="1">
        <f t="array" ref="H653">ROUND(G653*IF(OR(MID(A653,5,3)={"BFF","PRK","FPL","LMB","FFI","MET","RIC","FLR","SUG","OIL","DRK","JCE","FEG"}),1.21,IF(OR(MID(A653,5,3)={"FVG","FFR"}),1.33,IF(OR(MID(A653,5,3)={"FBT","FCH","FMK","FYG","MLK","ICE","FRV","FPO","FRF","FCC","BRD"}),1.28,IF(OR(MID(A653,5,3)={"BIS","CRP","HRB","TUR","IND","HYG"}),1.38,1.31)))),2)</f>
        <v>16.34</v>
      </c>
      <c r="I653" s="27">
        <f>(Table1[[#This Row],[SALE PRICE]]-Table1[[#This Row],[COST PRICE]])/Table1[[#This Row],[SALE PRICE]]</f>
        <v>0.17380660954712362</v>
      </c>
      <c r="J653" s="27" t="str">
        <f>IF(Table1[[#This Row],[MARGIN]]&lt;25%, "REVIEW", "OK")</f>
        <v>REVIEW</v>
      </c>
    </row>
    <row r="654" spans="1:10" ht="15.6" x14ac:dyDescent="0.3">
      <c r="A654" s="18" t="s">
        <v>1289</v>
      </c>
      <c r="B654" s="12" t="s">
        <v>1205</v>
      </c>
      <c r="C654" s="12" t="s">
        <v>1427</v>
      </c>
      <c r="D654" s="10"/>
      <c r="E654" s="10"/>
      <c r="F654" s="12"/>
      <c r="G654" s="46">
        <v>55</v>
      </c>
      <c r="H654" s="46" cm="1">
        <f t="array" ref="H654">ROUND(G654*IF(OR(MID(A654,5,3)={"BFF","PRK","FPL","LMB","FFI","MET","RIC","FLR","SUG","OIL","DRK","JCE","FEG"}),1.21,IF(OR(MID(A654,5,3)={"FVG","FFR"}),1.33,IF(OR(MID(A654,5,3)={"FBT","FCH","FMK","FYG","MLK","ICE","FRV","FPO","FRF","FCC","BRD"}),1.28,IF(OR(MID(A654,5,3)={"BIS","CRP","HRB","TUR","IND","HYG"}),1.38,1.31)))),2)</f>
        <v>66.55</v>
      </c>
      <c r="I654" s="29">
        <f>(Table1[[#This Row],[SALE PRICE]]-Table1[[#This Row],[COST PRICE]])/Table1[[#This Row],[SALE PRICE]]</f>
        <v>0.17355371900826444</v>
      </c>
      <c r="J654" s="26" t="str">
        <f>IF(Table1[[#This Row],[MARGIN]]&lt;25%, "REVIEW", "OK")</f>
        <v>REVIEW</v>
      </c>
    </row>
    <row r="655" spans="1:10" ht="15.6" x14ac:dyDescent="0.3">
      <c r="A655" s="18" t="s">
        <v>1290</v>
      </c>
      <c r="B655" s="13" t="s">
        <v>1206</v>
      </c>
      <c r="C655" s="13" t="s">
        <v>1439</v>
      </c>
      <c r="D655" s="11"/>
      <c r="E655" s="11"/>
      <c r="F655" s="13"/>
      <c r="G655" s="47">
        <v>1.5</v>
      </c>
      <c r="H655" s="47" cm="1">
        <f t="array" ref="H655">ROUND(G655*IF(OR(MID(A655,5,3)={"BFF","PRK","FPL","LMB","FFI","MET","RIC","FLR","SUG","OIL","DRK","JCE","FEG"}),1.21,IF(OR(MID(A655,5,3)={"FVG","FFR"}),1.33,IF(OR(MID(A655,5,3)={"FBT","FCH","FMK","FYG","MLK","ICE","FRV","FPO","FRF","FCC","BRD"}),1.28,IF(OR(MID(A655,5,3)={"BIS","CRP","HRB","TUR","IND","HYG"}),1.38,1.31)))),2)</f>
        <v>1.82</v>
      </c>
      <c r="I655" s="27">
        <f>(Table1[[#This Row],[SALE PRICE]]-Table1[[#This Row],[COST PRICE]])/Table1[[#This Row],[SALE PRICE]]</f>
        <v>0.17582417582417587</v>
      </c>
      <c r="J655" s="27" t="str">
        <f>IF(Table1[[#This Row],[MARGIN]]&lt;25%, "REVIEW", "OK")</f>
        <v>REVIEW</v>
      </c>
    </row>
    <row r="656" spans="1:10" ht="31.2" x14ac:dyDescent="0.3">
      <c r="A656" s="18" t="s">
        <v>1291</v>
      </c>
      <c r="B656" s="12" t="s">
        <v>1207</v>
      </c>
      <c r="C656" s="12" t="s">
        <v>1430</v>
      </c>
      <c r="D656" s="10"/>
      <c r="E656" s="10"/>
      <c r="F656" s="12"/>
      <c r="G656" s="46">
        <v>2.65</v>
      </c>
      <c r="H656" s="46" cm="1">
        <f t="array" ref="H656">ROUND(G656*IF(OR(MID(A656,5,3)={"BFF","PRK","FPL","LMB","FFI","MET","RIC","FLR","SUG","OIL","DRK","JCE","FEG"}),1.21,IF(OR(MID(A656,5,3)={"FVG","FFR"}),1.33,IF(OR(MID(A656,5,3)={"FBT","FCH","FMK","FYG","MLK","ICE","FRV","FPO","FRF","FCC","BRD"}),1.28,IF(OR(MID(A656,5,3)={"BIS","CRP","HRB","TUR","IND","HYG"}),1.38,1.31)))),2)</f>
        <v>3.21</v>
      </c>
      <c r="I656" s="29">
        <f>(Table1[[#This Row],[SALE PRICE]]-Table1[[#This Row],[COST PRICE]])/Table1[[#This Row],[SALE PRICE]]</f>
        <v>0.17445482866043616</v>
      </c>
      <c r="J656" s="26" t="str">
        <f>IF(Table1[[#This Row],[MARGIN]]&lt;25%, "REVIEW", "OK")</f>
        <v>REVIEW</v>
      </c>
    </row>
    <row r="657" spans="1:10" ht="15.6" x14ac:dyDescent="0.3">
      <c r="A657" s="18" t="s">
        <v>1292</v>
      </c>
      <c r="B657" s="13" t="s">
        <v>1208</v>
      </c>
      <c r="C657" s="13" t="s">
        <v>1439</v>
      </c>
      <c r="D657" s="11"/>
      <c r="E657" s="11"/>
      <c r="F657" s="13"/>
      <c r="G657" s="47">
        <v>3.9</v>
      </c>
      <c r="H657" s="47" cm="1">
        <f t="array" ref="H657">ROUND(G657*IF(OR(MID(A657,5,3)={"BFF","PRK","FPL","LMB","FFI","MET","RIC","FLR","SUG","OIL","DRK","JCE","FEG"}),1.21,IF(OR(MID(A657,5,3)={"FVG","FFR"}),1.33,IF(OR(MID(A657,5,3)={"FBT","FCH","FMK","FYG","MLK","ICE","FRV","FPO","FRF","FCC","BRD"}),1.28,IF(OR(MID(A657,5,3)={"BIS","CRP","HRB","TUR","IND","HYG"}),1.38,1.31)))),2)</f>
        <v>4.72</v>
      </c>
      <c r="I657" s="27">
        <f>(Table1[[#This Row],[SALE PRICE]]-Table1[[#This Row],[COST PRICE]])/Table1[[#This Row],[SALE PRICE]]</f>
        <v>0.17372881355932202</v>
      </c>
      <c r="J657" s="27" t="str">
        <f>IF(Table1[[#This Row],[MARGIN]]&lt;25%, "REVIEW", "OK")</f>
        <v>REVIEW</v>
      </c>
    </row>
    <row r="658" spans="1:10" ht="15.6" x14ac:dyDescent="0.3">
      <c r="A658" s="18" t="s">
        <v>1293</v>
      </c>
      <c r="B658" s="12" t="s">
        <v>1209</v>
      </c>
      <c r="C658" s="12" t="s">
        <v>1439</v>
      </c>
      <c r="D658" s="10"/>
      <c r="E658" s="10"/>
      <c r="F658" s="12"/>
      <c r="G658" s="46">
        <v>8.3000000000000007</v>
      </c>
      <c r="H658" s="46" cm="1">
        <f t="array" ref="H658">ROUND(G658*IF(OR(MID(A658,5,3)={"BFF","PRK","FPL","LMB","FFI","MET","RIC","FLR","SUG","OIL","DRK","JCE","FEG"}),1.21,IF(OR(MID(A658,5,3)={"FVG","FFR"}),1.33,IF(OR(MID(A658,5,3)={"FBT","FCH","FMK","FYG","MLK","ICE","FRV","FPO","FRF","FCC","BRD"}),1.28,IF(OR(MID(A658,5,3)={"BIS","CRP","HRB","TUR","IND","HYG"}),1.38,1.31)))),2)</f>
        <v>10.039999999999999</v>
      </c>
      <c r="I658" s="29">
        <f>(Table1[[#This Row],[SALE PRICE]]-Table1[[#This Row],[COST PRICE]])/Table1[[#This Row],[SALE PRICE]]</f>
        <v>0.17330677290836638</v>
      </c>
      <c r="J658" s="26" t="str">
        <f>IF(Table1[[#This Row],[MARGIN]]&lt;25%, "REVIEW", "OK")</f>
        <v>REVIEW</v>
      </c>
    </row>
    <row r="659" spans="1:10" ht="15.6" x14ac:dyDescent="0.3">
      <c r="A659" s="18" t="s">
        <v>1294</v>
      </c>
      <c r="B659" s="13" t="s">
        <v>1210</v>
      </c>
      <c r="C659" s="13" t="s">
        <v>1439</v>
      </c>
      <c r="D659" s="11"/>
      <c r="E659" s="11"/>
      <c r="F659" s="13"/>
      <c r="G659" s="47">
        <v>10</v>
      </c>
      <c r="H659" s="47" cm="1">
        <f t="array" ref="H659">ROUND(G659*IF(OR(MID(A659,5,3)={"BFF","PRK","FPL","LMB","FFI","MET","RIC","FLR","SUG","OIL","DRK","JCE","FEG"}),1.21,IF(OR(MID(A659,5,3)={"FVG","FFR"}),1.33,IF(OR(MID(A659,5,3)={"FBT","FCH","FMK","FYG","MLK","ICE","FRV","FPO","FRF","FCC","BRD"}),1.28,IF(OR(MID(A659,5,3)={"BIS","CRP","HRB","TUR","IND","HYG"}),1.38,1.31)))),2)</f>
        <v>12.1</v>
      </c>
      <c r="I659" s="27">
        <f>(Table1[[#This Row],[SALE PRICE]]-Table1[[#This Row],[COST PRICE]])/Table1[[#This Row],[SALE PRICE]]</f>
        <v>0.17355371900826444</v>
      </c>
      <c r="J659" s="27" t="str">
        <f>IF(Table1[[#This Row],[MARGIN]]&lt;25%, "REVIEW", "OK")</f>
        <v>REVIEW</v>
      </c>
    </row>
    <row r="660" spans="1:10" ht="15.6" x14ac:dyDescent="0.3">
      <c r="A660" s="18" t="s">
        <v>1295</v>
      </c>
      <c r="B660" s="12" t="s">
        <v>1211</v>
      </c>
      <c r="C660" s="12" t="s">
        <v>1440</v>
      </c>
      <c r="D660" s="10"/>
      <c r="E660" s="10"/>
      <c r="F660" s="12"/>
      <c r="G660" s="46">
        <v>5.95</v>
      </c>
      <c r="H660" s="46" cm="1">
        <f t="array" ref="H660">ROUND(G660*IF(OR(MID(A660,5,3)={"BFF","PRK","FPL","LMB","FFI","MET","RIC","FLR","SUG","OIL","DRK","JCE","FEG"}),1.21,IF(OR(MID(A660,5,3)={"FVG","FFR"}),1.33,IF(OR(MID(A660,5,3)={"FBT","FCH","FMK","FYG","MLK","ICE","FRV","FPO","FRF","FCC","BRD"}),1.28,IF(OR(MID(A660,5,3)={"BIS","CRP","HRB","TUR","IND","HYG"}),1.38,1.31)))),2)</f>
        <v>7.2</v>
      </c>
      <c r="I660" s="29">
        <f>(Table1[[#This Row],[SALE PRICE]]-Table1[[#This Row],[COST PRICE]])/Table1[[#This Row],[SALE PRICE]]</f>
        <v>0.1736111111111111</v>
      </c>
      <c r="J660" s="26" t="str">
        <f>IF(Table1[[#This Row],[MARGIN]]&lt;25%, "REVIEW", "OK")</f>
        <v>REVIEW</v>
      </c>
    </row>
    <row r="661" spans="1:10" ht="15.6" x14ac:dyDescent="0.3">
      <c r="A661" s="18" t="s">
        <v>1296</v>
      </c>
      <c r="B661" s="13" t="s">
        <v>1212</v>
      </c>
      <c r="C661" s="13" t="s">
        <v>1440</v>
      </c>
      <c r="D661" s="11"/>
      <c r="E661" s="11"/>
      <c r="F661" s="13"/>
      <c r="G661" s="47">
        <v>9.8000000000000007</v>
      </c>
      <c r="H661" s="47" cm="1">
        <f t="array" ref="H661">ROUND(G661*IF(OR(MID(A661,5,3)={"BFF","PRK","FPL","LMB","FFI","MET","RIC","FLR","SUG","OIL","DRK","JCE","FEG"}),1.21,IF(OR(MID(A661,5,3)={"FVG","FFR"}),1.33,IF(OR(MID(A661,5,3)={"FBT","FCH","FMK","FYG","MLK","ICE","FRV","FPO","FRF","FCC","BRD"}),1.28,IF(OR(MID(A661,5,3)={"BIS","CRP","HRB","TUR","IND","HYG"}),1.38,1.31)))),2)</f>
        <v>11.86</v>
      </c>
      <c r="I661" s="27">
        <f>(Table1[[#This Row],[SALE PRICE]]-Table1[[#This Row],[COST PRICE]])/Table1[[#This Row],[SALE PRICE]]</f>
        <v>0.17369308600337258</v>
      </c>
      <c r="J661" s="27" t="str">
        <f>IF(Table1[[#This Row],[MARGIN]]&lt;25%, "REVIEW", "OK")</f>
        <v>REVIEW</v>
      </c>
    </row>
    <row r="662" spans="1:10" ht="15.6" x14ac:dyDescent="0.3">
      <c r="A662" s="18" t="s">
        <v>1297</v>
      </c>
      <c r="B662" s="12" t="s">
        <v>1213</v>
      </c>
      <c r="C662" s="12" t="s">
        <v>1430</v>
      </c>
      <c r="D662" s="10"/>
      <c r="E662" s="10"/>
      <c r="F662" s="12"/>
      <c r="G662" s="46">
        <v>36.5</v>
      </c>
      <c r="H662" s="46" cm="1">
        <f t="array" ref="H662">ROUND(G662*IF(OR(MID(A662,5,3)={"BFF","PRK","FPL","LMB","FFI","MET","RIC","FLR","SUG","OIL","DRK","JCE","FEG"}),1.21,IF(OR(MID(A662,5,3)={"FVG","FFR"}),1.33,IF(OR(MID(A662,5,3)={"FBT","FCH","FMK","FYG","MLK","ICE","FRV","FPO","FRF","FCC","BRD"}),1.28,IF(OR(MID(A662,5,3)={"BIS","CRP","HRB","TUR","IND","HYG"}),1.38,1.31)))),2)</f>
        <v>44.17</v>
      </c>
      <c r="I662" s="29">
        <f>(Table1[[#This Row],[SALE PRICE]]-Table1[[#This Row],[COST PRICE]])/Table1[[#This Row],[SALE PRICE]]</f>
        <v>0.17364727190400728</v>
      </c>
      <c r="J662" s="26" t="str">
        <f>IF(Table1[[#This Row],[MARGIN]]&lt;25%, "REVIEW", "OK")</f>
        <v>REVIEW</v>
      </c>
    </row>
    <row r="663" spans="1:10" ht="15.6" x14ac:dyDescent="0.3">
      <c r="A663" s="18" t="s">
        <v>1298</v>
      </c>
      <c r="B663" s="13" t="s">
        <v>1214</v>
      </c>
      <c r="C663" s="13" t="s">
        <v>1440</v>
      </c>
      <c r="D663" s="11"/>
      <c r="E663" s="11"/>
      <c r="F663" s="13"/>
      <c r="G663" s="47">
        <v>5</v>
      </c>
      <c r="H663" s="47" cm="1">
        <f t="array" ref="H663">ROUND(G663*IF(OR(MID(A663,5,3)={"BFF","PRK","FPL","LMB","FFI","MET","RIC","FLR","SUG","OIL","DRK","JCE","FEG"}),1.21,IF(OR(MID(A663,5,3)={"FVG","FFR"}),1.33,IF(OR(MID(A663,5,3)={"FBT","FCH","FMK","FYG","MLK","ICE","FRV","FPO","FRF","FCC","BRD"}),1.28,IF(OR(MID(A663,5,3)={"BIS","CRP","HRB","TUR","IND","HYG"}),1.38,1.31)))),2)</f>
        <v>6.05</v>
      </c>
      <c r="I663" s="27">
        <f>(Table1[[#This Row],[SALE PRICE]]-Table1[[#This Row],[COST PRICE]])/Table1[[#This Row],[SALE PRICE]]</f>
        <v>0.17355371900826444</v>
      </c>
      <c r="J663" s="27" t="str">
        <f>IF(Table1[[#This Row],[MARGIN]]&lt;25%, "REVIEW", "OK")</f>
        <v>REVIEW</v>
      </c>
    </row>
    <row r="664" spans="1:10" ht="15.6" x14ac:dyDescent="0.3">
      <c r="A664" s="18" t="s">
        <v>1299</v>
      </c>
      <c r="B664" s="12" t="s">
        <v>1215</v>
      </c>
      <c r="C664" s="12" t="s">
        <v>1440</v>
      </c>
      <c r="D664" s="10"/>
      <c r="E664" s="10"/>
      <c r="F664" s="12"/>
      <c r="G664" s="46">
        <v>4.8499999999999996</v>
      </c>
      <c r="H664" s="46" cm="1">
        <f t="array" ref="H664">ROUND(G664*IF(OR(MID(A664,5,3)={"BFF","PRK","FPL","LMB","FFI","MET","RIC","FLR","SUG","OIL","DRK","JCE","FEG"}),1.21,IF(OR(MID(A664,5,3)={"FVG","FFR"}),1.33,IF(OR(MID(A664,5,3)={"FBT","FCH","FMK","FYG","MLK","ICE","FRV","FPO","FRF","FCC","BRD"}),1.28,IF(OR(MID(A664,5,3)={"BIS","CRP","HRB","TUR","IND","HYG"}),1.38,1.31)))),2)</f>
        <v>5.87</v>
      </c>
      <c r="I664" s="29">
        <f>(Table1[[#This Row],[SALE PRICE]]-Table1[[#This Row],[COST PRICE]])/Table1[[#This Row],[SALE PRICE]]</f>
        <v>0.17376490630323688</v>
      </c>
      <c r="J664" s="26" t="str">
        <f>IF(Table1[[#This Row],[MARGIN]]&lt;25%, "REVIEW", "OK")</f>
        <v>REVIEW</v>
      </c>
    </row>
    <row r="665" spans="1:10" ht="15.6" x14ac:dyDescent="0.3">
      <c r="A665" s="18" t="s">
        <v>1300</v>
      </c>
      <c r="B665" s="13" t="s">
        <v>1216</v>
      </c>
      <c r="C665" s="13" t="s">
        <v>1440</v>
      </c>
      <c r="D665" s="11"/>
      <c r="E665" s="11"/>
      <c r="F665" s="13"/>
      <c r="G665" s="47">
        <v>6</v>
      </c>
      <c r="H665" s="47" cm="1">
        <f t="array" ref="H665">ROUND(G665*IF(OR(MID(A665,5,3)={"BFF","PRK","FPL","LMB","FFI","MET","RIC","FLR","SUG","OIL","DRK","JCE","FEG"}),1.21,IF(OR(MID(A665,5,3)={"FVG","FFR"}),1.33,IF(OR(MID(A665,5,3)={"FBT","FCH","FMK","FYG","MLK","ICE","FRV","FPO","FRF","FCC","BRD"}),1.28,IF(OR(MID(A665,5,3)={"BIS","CRP","HRB","TUR","IND","HYG"}),1.38,1.31)))),2)</f>
        <v>7.26</v>
      </c>
      <c r="I665" s="27">
        <f>(Table1[[#This Row],[SALE PRICE]]-Table1[[#This Row],[COST PRICE]])/Table1[[#This Row],[SALE PRICE]]</f>
        <v>0.17355371900826444</v>
      </c>
      <c r="J665" s="27" t="str">
        <f>IF(Table1[[#This Row],[MARGIN]]&lt;25%, "REVIEW", "OK")</f>
        <v>REVIEW</v>
      </c>
    </row>
    <row r="666" spans="1:10" ht="15.6" x14ac:dyDescent="0.3">
      <c r="A666" s="18" t="s">
        <v>1301</v>
      </c>
      <c r="B666" s="12" t="s">
        <v>1217</v>
      </c>
      <c r="C666" s="12" t="s">
        <v>1439</v>
      </c>
      <c r="D666" s="10"/>
      <c r="E666" s="10"/>
      <c r="F666" s="12"/>
      <c r="G666" s="46">
        <v>3.77</v>
      </c>
      <c r="H666" s="46" cm="1">
        <f t="array" ref="H666">ROUND(G666*IF(OR(MID(A666,5,3)={"BFF","PRK","FPL","LMB","FFI","MET","RIC","FLR","SUG","OIL","DRK","JCE","FEG"}),1.21,IF(OR(MID(A666,5,3)={"FVG","FFR"}),1.33,IF(OR(MID(A666,5,3)={"FBT","FCH","FMK","FYG","MLK","ICE","FRV","FPO","FRF","FCC","BRD"}),1.28,IF(OR(MID(A666,5,3)={"BIS","CRP","HRB","TUR","IND","HYG"}),1.38,1.31)))),2)</f>
        <v>4.5599999999999996</v>
      </c>
      <c r="I666" s="29">
        <f>(Table1[[#This Row],[SALE PRICE]]-Table1[[#This Row],[COST PRICE]])/Table1[[#This Row],[SALE PRICE]]</f>
        <v>0.17324561403508765</v>
      </c>
      <c r="J666" s="26" t="str">
        <f>IF(Table1[[#This Row],[MARGIN]]&lt;25%, "REVIEW", "OK")</f>
        <v>REVIEW</v>
      </c>
    </row>
    <row r="667" spans="1:10" ht="15.6" x14ac:dyDescent="0.3">
      <c r="A667" s="18" t="s">
        <v>1302</v>
      </c>
      <c r="B667" s="13" t="s">
        <v>1218</v>
      </c>
      <c r="C667" s="13" t="s">
        <v>1439</v>
      </c>
      <c r="D667" s="11"/>
      <c r="E667" s="11"/>
      <c r="F667" s="13"/>
      <c r="G667" s="47">
        <v>3.9</v>
      </c>
      <c r="H667" s="47" cm="1">
        <f t="array" ref="H667">ROUND(G667*IF(OR(MID(A667,5,3)={"BFF","PRK","FPL","LMB","FFI","MET","RIC","FLR","SUG","OIL","DRK","JCE","FEG"}),1.21,IF(OR(MID(A667,5,3)={"FVG","FFR"}),1.33,IF(OR(MID(A667,5,3)={"FBT","FCH","FMK","FYG","MLK","ICE","FRV","FPO","FRF","FCC","BRD"}),1.28,IF(OR(MID(A667,5,3)={"BIS","CRP","HRB","TUR","IND","HYG"}),1.38,1.31)))),2)</f>
        <v>4.72</v>
      </c>
      <c r="I667" s="27">
        <f>(Table1[[#This Row],[SALE PRICE]]-Table1[[#This Row],[COST PRICE]])/Table1[[#This Row],[SALE PRICE]]</f>
        <v>0.17372881355932202</v>
      </c>
      <c r="J667" s="27" t="str">
        <f>IF(Table1[[#This Row],[MARGIN]]&lt;25%, "REVIEW", "OK")</f>
        <v>REVIEW</v>
      </c>
    </row>
    <row r="668" spans="1:10" ht="15.6" x14ac:dyDescent="0.3">
      <c r="A668" s="18" t="s">
        <v>1303</v>
      </c>
      <c r="B668" s="12" t="s">
        <v>1219</v>
      </c>
      <c r="C668" s="12" t="s">
        <v>1439</v>
      </c>
      <c r="D668" s="10"/>
      <c r="E668" s="10"/>
      <c r="F668" s="12"/>
      <c r="G668" s="46">
        <v>3.8</v>
      </c>
      <c r="H668" s="46" cm="1">
        <f t="array" ref="H668">ROUND(G668*IF(OR(MID(A668,5,3)={"BFF","PRK","FPL","LMB","FFI","MET","RIC","FLR","SUG","OIL","DRK","JCE","FEG"}),1.21,IF(OR(MID(A668,5,3)={"FVG","FFR"}),1.33,IF(OR(MID(A668,5,3)={"FBT","FCH","FMK","FYG","MLK","ICE","FRV","FPO","FRF","FCC","BRD"}),1.28,IF(OR(MID(A668,5,3)={"BIS","CRP","HRB","TUR","IND","HYG"}),1.38,1.31)))),2)</f>
        <v>4.5999999999999996</v>
      </c>
      <c r="I668" s="29">
        <f>(Table1[[#This Row],[SALE PRICE]]-Table1[[#This Row],[COST PRICE]])/Table1[[#This Row],[SALE PRICE]]</f>
        <v>0.17391304347826084</v>
      </c>
      <c r="J668" s="26" t="str">
        <f>IF(Table1[[#This Row],[MARGIN]]&lt;25%, "REVIEW", "OK")</f>
        <v>REVIEW</v>
      </c>
    </row>
    <row r="669" spans="1:10" ht="15.6" x14ac:dyDescent="0.3">
      <c r="A669" s="18" t="s">
        <v>1304</v>
      </c>
      <c r="B669" s="13" t="s">
        <v>1220</v>
      </c>
      <c r="C669" s="13" t="s">
        <v>1439</v>
      </c>
      <c r="D669" s="11"/>
      <c r="E669" s="11"/>
      <c r="F669" s="13"/>
      <c r="G669" s="47">
        <v>4.07</v>
      </c>
      <c r="H669" s="47" cm="1">
        <f t="array" ref="H669">ROUND(G669*IF(OR(MID(A669,5,3)={"BFF","PRK","FPL","LMB","FFI","MET","RIC","FLR","SUG","OIL","DRK","JCE","FEG"}),1.21,IF(OR(MID(A669,5,3)={"FVG","FFR"}),1.33,IF(OR(MID(A669,5,3)={"FBT","FCH","FMK","FYG","MLK","ICE","FRV","FPO","FRF","FCC","BRD"}),1.28,IF(OR(MID(A669,5,3)={"BIS","CRP","HRB","TUR","IND","HYG"}),1.38,1.31)))),2)</f>
        <v>4.92</v>
      </c>
      <c r="I669" s="27">
        <f>(Table1[[#This Row],[SALE PRICE]]-Table1[[#This Row],[COST PRICE]])/Table1[[#This Row],[SALE PRICE]]</f>
        <v>0.17276422764227636</v>
      </c>
      <c r="J669" s="27" t="str">
        <f>IF(Table1[[#This Row],[MARGIN]]&lt;25%, "REVIEW", "OK")</f>
        <v>REVIEW</v>
      </c>
    </row>
    <row r="670" spans="1:10" ht="15.6" x14ac:dyDescent="0.3">
      <c r="A670" s="18" t="s">
        <v>1305</v>
      </c>
      <c r="B670" s="12" t="s">
        <v>1221</v>
      </c>
      <c r="C670" s="12" t="s">
        <v>1439</v>
      </c>
      <c r="D670" s="10"/>
      <c r="E670" s="10"/>
      <c r="F670" s="12"/>
      <c r="G670" s="46">
        <v>3.8</v>
      </c>
      <c r="H670" s="46" cm="1">
        <f t="array" ref="H670">ROUND(G670*IF(OR(MID(A670,5,3)={"BFF","PRK","FPL","LMB","FFI","MET","RIC","FLR","SUG","OIL","DRK","JCE","FEG"}),1.21,IF(OR(MID(A670,5,3)={"FVG","FFR"}),1.33,IF(OR(MID(A670,5,3)={"FBT","FCH","FMK","FYG","MLK","ICE","FRV","FPO","FRF","FCC","BRD"}),1.28,IF(OR(MID(A670,5,3)={"BIS","CRP","HRB","TUR","IND","HYG"}),1.38,1.31)))),2)</f>
        <v>4.5999999999999996</v>
      </c>
      <c r="I670" s="29">
        <f>(Table1[[#This Row],[SALE PRICE]]-Table1[[#This Row],[COST PRICE]])/Table1[[#This Row],[SALE PRICE]]</f>
        <v>0.17391304347826084</v>
      </c>
      <c r="J670" s="26" t="str">
        <f>IF(Table1[[#This Row],[MARGIN]]&lt;25%, "REVIEW", "OK")</f>
        <v>REVIEW</v>
      </c>
    </row>
    <row r="671" spans="1:10" ht="15.6" x14ac:dyDescent="0.3">
      <c r="A671" s="18" t="s">
        <v>1306</v>
      </c>
      <c r="B671" s="13" t="s">
        <v>1222</v>
      </c>
      <c r="C671" s="13" t="s">
        <v>1439</v>
      </c>
      <c r="D671" s="11"/>
      <c r="E671" s="11"/>
      <c r="F671" s="13"/>
      <c r="G671" s="47">
        <v>1.55</v>
      </c>
      <c r="H671" s="47" cm="1">
        <f t="array" ref="H671">ROUND(G671*IF(OR(MID(A671,5,3)={"BFF","PRK","FPL","LMB","FFI","MET","RIC","FLR","SUG","OIL","DRK","JCE","FEG"}),1.21,IF(OR(MID(A671,5,3)={"FVG","FFR"}),1.33,IF(OR(MID(A671,5,3)={"FBT","FCH","FMK","FYG","MLK","ICE","FRV","FPO","FRF","FCC","BRD"}),1.28,IF(OR(MID(A671,5,3)={"BIS","CRP","HRB","TUR","IND","HYG"}),1.38,1.31)))),2)</f>
        <v>1.88</v>
      </c>
      <c r="I671" s="27">
        <f>(Table1[[#This Row],[SALE PRICE]]-Table1[[#This Row],[COST PRICE]])/Table1[[#This Row],[SALE PRICE]]</f>
        <v>0.17553191489361694</v>
      </c>
      <c r="J671" s="27" t="str">
        <f>IF(Table1[[#This Row],[MARGIN]]&lt;25%, "REVIEW", "OK")</f>
        <v>REVIEW</v>
      </c>
    </row>
    <row r="672" spans="1:10" ht="15.6" x14ac:dyDescent="0.3">
      <c r="A672" s="18" t="s">
        <v>1307</v>
      </c>
      <c r="B672" s="12" t="s">
        <v>1223</v>
      </c>
      <c r="C672" s="12" t="s">
        <v>1439</v>
      </c>
      <c r="D672" s="10"/>
      <c r="E672" s="10"/>
      <c r="F672" s="12"/>
      <c r="G672" s="46">
        <v>3.62</v>
      </c>
      <c r="H672" s="46" cm="1">
        <f t="array" ref="H672">ROUND(G672*IF(OR(MID(A672,5,3)={"BFF","PRK","FPL","LMB","FFI","MET","RIC","FLR","SUG","OIL","DRK","JCE","FEG"}),1.21,IF(OR(MID(A672,5,3)={"FVG","FFR"}),1.33,IF(OR(MID(A672,5,3)={"FBT","FCH","FMK","FYG","MLK","ICE","FRV","FPO","FRF","FCC","BRD"}),1.28,IF(OR(MID(A672,5,3)={"BIS","CRP","HRB","TUR","IND","HYG"}),1.38,1.31)))),2)</f>
        <v>4.38</v>
      </c>
      <c r="I672" s="29">
        <f>(Table1[[#This Row],[SALE PRICE]]-Table1[[#This Row],[COST PRICE]])/Table1[[#This Row],[SALE PRICE]]</f>
        <v>0.17351598173515978</v>
      </c>
      <c r="J672" s="26" t="str">
        <f>IF(Table1[[#This Row],[MARGIN]]&lt;25%, "REVIEW", "OK")</f>
        <v>REVIEW</v>
      </c>
    </row>
    <row r="673" spans="1:10" ht="15.6" x14ac:dyDescent="0.3">
      <c r="A673" s="18" t="s">
        <v>1308</v>
      </c>
      <c r="B673" s="13" t="s">
        <v>1224</v>
      </c>
      <c r="C673" s="13" t="s">
        <v>1439</v>
      </c>
      <c r="D673" s="11"/>
      <c r="E673" s="11"/>
      <c r="F673" s="13"/>
      <c r="G673" s="47">
        <v>4.6399999999999997</v>
      </c>
      <c r="H673" s="47" cm="1">
        <f t="array" ref="H673">ROUND(G673*IF(OR(MID(A673,5,3)={"BFF","PRK","FPL","LMB","FFI","MET","RIC","FLR","SUG","OIL","DRK","JCE","FEG"}),1.21,IF(OR(MID(A673,5,3)={"FVG","FFR"}),1.33,IF(OR(MID(A673,5,3)={"FBT","FCH","FMK","FYG","MLK","ICE","FRV","FPO","FRF","FCC","BRD"}),1.28,IF(OR(MID(A673,5,3)={"BIS","CRP","HRB","TUR","IND","HYG"}),1.38,1.31)))),2)</f>
        <v>5.61</v>
      </c>
      <c r="I673" s="27">
        <f>(Table1[[#This Row],[SALE PRICE]]-Table1[[#This Row],[COST PRICE]])/Table1[[#This Row],[SALE PRICE]]</f>
        <v>0.17290552584670243</v>
      </c>
      <c r="J673" s="27" t="str">
        <f>IF(Table1[[#This Row],[MARGIN]]&lt;25%, "REVIEW", "OK")</f>
        <v>REVIEW</v>
      </c>
    </row>
    <row r="674" spans="1:10" ht="15.6" x14ac:dyDescent="0.3">
      <c r="A674" s="18" t="s">
        <v>1309</v>
      </c>
      <c r="B674" s="12" t="s">
        <v>1225</v>
      </c>
      <c r="C674" s="12" t="s">
        <v>1439</v>
      </c>
      <c r="D674" s="10"/>
      <c r="E674" s="10"/>
      <c r="F674" s="12"/>
      <c r="G674" s="46">
        <v>4.55</v>
      </c>
      <c r="H674" s="46" cm="1">
        <f t="array" ref="H674">ROUND(G674*IF(OR(MID(A674,5,3)={"BFF","PRK","FPL","LMB","FFI","MET","RIC","FLR","SUG","OIL","DRK","JCE","FEG"}),1.21,IF(OR(MID(A674,5,3)={"FVG","FFR"}),1.33,IF(OR(MID(A674,5,3)={"FBT","FCH","FMK","FYG","MLK","ICE","FRV","FPO","FRF","FCC","BRD"}),1.28,IF(OR(MID(A674,5,3)={"BIS","CRP","HRB","TUR","IND","HYG"}),1.38,1.31)))),2)</f>
        <v>5.51</v>
      </c>
      <c r="I674" s="29">
        <f>(Table1[[#This Row],[SALE PRICE]]-Table1[[#This Row],[COST PRICE]])/Table1[[#This Row],[SALE PRICE]]</f>
        <v>0.17422867513611615</v>
      </c>
      <c r="J674" s="26" t="str">
        <f>IF(Table1[[#This Row],[MARGIN]]&lt;25%, "REVIEW", "OK")</f>
        <v>REVIEW</v>
      </c>
    </row>
    <row r="675" spans="1:10" ht="15.6" x14ac:dyDescent="0.3">
      <c r="A675" s="18" t="s">
        <v>1310</v>
      </c>
      <c r="B675" s="13" t="s">
        <v>1226</v>
      </c>
      <c r="C675" s="13" t="s">
        <v>1439</v>
      </c>
      <c r="D675" s="11"/>
      <c r="E675" s="11"/>
      <c r="F675" s="13"/>
      <c r="G675" s="47">
        <v>4.2</v>
      </c>
      <c r="H675" s="47" cm="1">
        <f t="array" ref="H675">ROUND(G675*IF(OR(MID(A675,5,3)={"BFF","PRK","FPL","LMB","FFI","MET","RIC","FLR","SUG","OIL","DRK","JCE","FEG"}),1.21,IF(OR(MID(A675,5,3)={"FVG","FFR"}),1.33,IF(OR(MID(A675,5,3)={"FBT","FCH","FMK","FYG","MLK","ICE","FRV","FPO","FRF","FCC","BRD"}),1.28,IF(OR(MID(A675,5,3)={"BIS","CRP","HRB","TUR","IND","HYG"}),1.38,1.31)))),2)</f>
        <v>5.08</v>
      </c>
      <c r="I675" s="27">
        <f>(Table1[[#This Row],[SALE PRICE]]-Table1[[#This Row],[COST PRICE]])/Table1[[#This Row],[SALE PRICE]]</f>
        <v>0.17322834645669288</v>
      </c>
      <c r="J675" s="27" t="str">
        <f>IF(Table1[[#This Row],[MARGIN]]&lt;25%, "REVIEW", "OK")</f>
        <v>REVIEW</v>
      </c>
    </row>
    <row r="676" spans="1:10" ht="15.6" x14ac:dyDescent="0.3">
      <c r="A676" s="18" t="s">
        <v>1311</v>
      </c>
      <c r="B676" s="12" t="s">
        <v>1227</v>
      </c>
      <c r="C676" s="12" t="s">
        <v>1440</v>
      </c>
      <c r="D676" s="10"/>
      <c r="E676" s="10"/>
      <c r="F676" s="12"/>
      <c r="G676" s="46">
        <v>4.0999999999999996</v>
      </c>
      <c r="H676" s="46" cm="1">
        <f t="array" ref="H676">ROUND(G676*IF(OR(MID(A676,5,3)={"BFF","PRK","FPL","LMB","FFI","MET","RIC","FLR","SUG","OIL","DRK","JCE","FEG"}),1.21,IF(OR(MID(A676,5,3)={"FVG","FFR"}),1.33,IF(OR(MID(A676,5,3)={"FBT","FCH","FMK","FYG","MLK","ICE","FRV","FPO","FRF","FCC","BRD"}),1.28,IF(OR(MID(A676,5,3)={"BIS","CRP","HRB","TUR","IND","HYG"}),1.38,1.31)))),2)</f>
        <v>4.96</v>
      </c>
      <c r="I676" s="29">
        <f>(Table1[[#This Row],[SALE PRICE]]-Table1[[#This Row],[COST PRICE]])/Table1[[#This Row],[SALE PRICE]]</f>
        <v>0.17338709677419362</v>
      </c>
      <c r="J676" s="26" t="str">
        <f>IF(Table1[[#This Row],[MARGIN]]&lt;25%, "REVIEW", "OK")</f>
        <v>REVIEW</v>
      </c>
    </row>
    <row r="677" spans="1:10" ht="15.6" x14ac:dyDescent="0.3">
      <c r="A677" s="18" t="s">
        <v>1312</v>
      </c>
      <c r="B677" s="13" t="s">
        <v>1228</v>
      </c>
      <c r="C677" s="13" t="s">
        <v>1427</v>
      </c>
      <c r="D677" s="11"/>
      <c r="E677" s="11"/>
      <c r="F677" s="13"/>
      <c r="G677" s="47">
        <v>62</v>
      </c>
      <c r="H677" s="47" cm="1">
        <f t="array" ref="H677">ROUND(G677*IF(OR(MID(A677,5,3)={"BFF","PRK","FPL","LMB","FFI","MET","RIC","FLR","SUG","OIL","DRK","JCE","FEG"}),1.21,IF(OR(MID(A677,5,3)={"FVG","FFR"}),1.33,IF(OR(MID(A677,5,3)={"FBT","FCH","FMK","FYG","MLK","ICE","FRV","FPO","FRF","FCC","BRD"}),1.28,IF(OR(MID(A677,5,3)={"BIS","CRP","HRB","TUR","IND","HYG"}),1.38,1.31)))),2)</f>
        <v>75.02</v>
      </c>
      <c r="I677" s="27">
        <f>(Table1[[#This Row],[SALE PRICE]]-Table1[[#This Row],[COST PRICE]])/Table1[[#This Row],[SALE PRICE]]</f>
        <v>0.17355371900826441</v>
      </c>
      <c r="J677" s="27" t="str">
        <f>IF(Table1[[#This Row],[MARGIN]]&lt;25%, "REVIEW", "OK")</f>
        <v>REVIEW</v>
      </c>
    </row>
    <row r="678" spans="1:10" ht="15.6" x14ac:dyDescent="0.3">
      <c r="A678" s="18" t="s">
        <v>1313</v>
      </c>
      <c r="B678" s="12" t="s">
        <v>1229</v>
      </c>
      <c r="C678" s="12" t="s">
        <v>1441</v>
      </c>
      <c r="D678" s="10"/>
      <c r="E678" s="10"/>
      <c r="F678" s="12"/>
      <c r="G678" s="46">
        <v>59</v>
      </c>
      <c r="H678" s="46" cm="1">
        <f t="array" ref="H678">ROUND(G678*IF(OR(MID(A678,5,3)={"BFF","PRK","FPL","LMB","FFI","MET","RIC","FLR","SUG","OIL","DRK","JCE","FEG"}),1.21,IF(OR(MID(A678,5,3)={"FVG","FFR"}),1.33,IF(OR(MID(A678,5,3)={"FBT","FCH","FMK","FYG","MLK","ICE","FRV","FPO","FRF","FCC","BRD"}),1.28,IF(OR(MID(A678,5,3)={"BIS","CRP","HRB","TUR","IND","HYG"}),1.38,1.31)))),2)</f>
        <v>71.39</v>
      </c>
      <c r="I678" s="29">
        <f>(Table1[[#This Row],[SALE PRICE]]-Table1[[#This Row],[COST PRICE]])/Table1[[#This Row],[SALE PRICE]]</f>
        <v>0.17355371900826447</v>
      </c>
      <c r="J678" s="26" t="str">
        <f>IF(Table1[[#This Row],[MARGIN]]&lt;25%, "REVIEW", "OK")</f>
        <v>REVIEW</v>
      </c>
    </row>
    <row r="679" spans="1:10" ht="15.6" x14ac:dyDescent="0.3">
      <c r="A679" s="18" t="s">
        <v>1314</v>
      </c>
      <c r="B679" s="13" t="s">
        <v>1230</v>
      </c>
      <c r="C679" s="13" t="s">
        <v>1439</v>
      </c>
      <c r="D679" s="11"/>
      <c r="E679" s="11"/>
      <c r="F679" s="13"/>
      <c r="G679" s="47">
        <v>3.85</v>
      </c>
      <c r="H679" s="47" cm="1">
        <f t="array" ref="H679">ROUND(G679*IF(OR(MID(A679,5,3)={"BFF","PRK","FPL","LMB","FFI","MET","RIC","FLR","SUG","OIL","DRK","JCE","FEG"}),1.21,IF(OR(MID(A679,5,3)={"FVG","FFR"}),1.33,IF(OR(MID(A679,5,3)={"FBT","FCH","FMK","FYG","MLK","ICE","FRV","FPO","FRF","FCC","BRD"}),1.28,IF(OR(MID(A679,5,3)={"BIS","CRP","HRB","TUR","IND","HYG"}),1.38,1.31)))),2)</f>
        <v>4.66</v>
      </c>
      <c r="I679" s="27">
        <f>(Table1[[#This Row],[SALE PRICE]]-Table1[[#This Row],[COST PRICE]])/Table1[[#This Row],[SALE PRICE]]</f>
        <v>0.1738197424892704</v>
      </c>
      <c r="J679" s="27" t="str">
        <f>IF(Table1[[#This Row],[MARGIN]]&lt;25%, "REVIEW", "OK")</f>
        <v>REVIEW</v>
      </c>
    </row>
    <row r="680" spans="1:10" ht="15.6" x14ac:dyDescent="0.3">
      <c r="A680" s="18" t="s">
        <v>1315</v>
      </c>
      <c r="B680" s="12" t="s">
        <v>1231</v>
      </c>
      <c r="C680" s="12" t="s">
        <v>1439</v>
      </c>
      <c r="D680" s="10"/>
      <c r="E680" s="10"/>
      <c r="F680" s="12"/>
      <c r="G680" s="46">
        <v>4.6500000000000004</v>
      </c>
      <c r="H680" s="46" cm="1">
        <f t="array" ref="H680">ROUND(G680*IF(OR(MID(A680,5,3)={"BFF","PRK","FPL","LMB","FFI","MET","RIC","FLR","SUG","OIL","DRK","JCE","FEG"}),1.21,IF(OR(MID(A680,5,3)={"FVG","FFR"}),1.33,IF(OR(MID(A680,5,3)={"FBT","FCH","FMK","FYG","MLK","ICE","FRV","FPO","FRF","FCC","BRD"}),1.28,IF(OR(MID(A680,5,3)={"BIS","CRP","HRB","TUR","IND","HYG"}),1.38,1.31)))),2)</f>
        <v>5.63</v>
      </c>
      <c r="I680" s="29">
        <f>(Table1[[#This Row],[SALE PRICE]]-Table1[[#This Row],[COST PRICE]])/Table1[[#This Row],[SALE PRICE]]</f>
        <v>0.17406749555950257</v>
      </c>
      <c r="J680" s="26" t="str">
        <f>IF(Table1[[#This Row],[MARGIN]]&lt;25%, "REVIEW", "OK")</f>
        <v>REVIEW</v>
      </c>
    </row>
    <row r="681" spans="1:10" ht="15.6" x14ac:dyDescent="0.3">
      <c r="A681" s="18" t="s">
        <v>1316</v>
      </c>
      <c r="B681" s="13" t="s">
        <v>1232</v>
      </c>
      <c r="C681" s="13" t="s">
        <v>1439</v>
      </c>
      <c r="D681" s="11"/>
      <c r="E681" s="11"/>
      <c r="F681" s="13"/>
      <c r="G681" s="47">
        <v>4.32</v>
      </c>
      <c r="H681" s="47" cm="1">
        <f t="array" ref="H681">ROUND(G681*IF(OR(MID(A681,5,3)={"BFF","PRK","FPL","LMB","FFI","MET","RIC","FLR","SUG","OIL","DRK","JCE","FEG"}),1.21,IF(OR(MID(A681,5,3)={"FVG","FFR"}),1.33,IF(OR(MID(A681,5,3)={"FBT","FCH","FMK","FYG","MLK","ICE","FRV","FPO","FRF","FCC","BRD"}),1.28,IF(OR(MID(A681,5,3)={"BIS","CRP","HRB","TUR","IND","HYG"}),1.38,1.31)))),2)</f>
        <v>5.23</v>
      </c>
      <c r="I681" s="27">
        <f>(Table1[[#This Row],[SALE PRICE]]-Table1[[#This Row],[COST PRICE]])/Table1[[#This Row],[SALE PRICE]]</f>
        <v>0.17399617590822181</v>
      </c>
      <c r="J681" s="27" t="str">
        <f>IF(Table1[[#This Row],[MARGIN]]&lt;25%, "REVIEW", "OK")</f>
        <v>REVIEW</v>
      </c>
    </row>
    <row r="682" spans="1:10" ht="15.6" x14ac:dyDescent="0.3">
      <c r="A682" s="18" t="s">
        <v>1317</v>
      </c>
      <c r="B682" s="12" t="s">
        <v>1233</v>
      </c>
      <c r="C682" s="12" t="s">
        <v>1439</v>
      </c>
      <c r="D682" s="10"/>
      <c r="E682" s="10"/>
      <c r="F682" s="12"/>
      <c r="G682" s="46">
        <v>2.75</v>
      </c>
      <c r="H682" s="46" cm="1">
        <f t="array" ref="H682">ROUND(G682*IF(OR(MID(A682,5,3)={"BFF","PRK","FPL","LMB","FFI","MET","RIC","FLR","SUG","OIL","DRK","JCE","FEG"}),1.21,IF(OR(MID(A682,5,3)={"FVG","FFR"}),1.33,IF(OR(MID(A682,5,3)={"FBT","FCH","FMK","FYG","MLK","ICE","FRV","FPO","FRF","FCC","BRD"}),1.28,IF(OR(MID(A682,5,3)={"BIS","CRP","HRB","TUR","IND","HYG"}),1.38,1.31)))),2)</f>
        <v>3.33</v>
      </c>
      <c r="I682" s="29">
        <f>(Table1[[#This Row],[SALE PRICE]]-Table1[[#This Row],[COST PRICE]])/Table1[[#This Row],[SALE PRICE]]</f>
        <v>0.17417417417417419</v>
      </c>
      <c r="J682" s="26" t="str">
        <f>IF(Table1[[#This Row],[MARGIN]]&lt;25%, "REVIEW", "OK")</f>
        <v>REVIEW</v>
      </c>
    </row>
    <row r="683" spans="1:10" ht="15.6" x14ac:dyDescent="0.3">
      <c r="A683" s="18" t="s">
        <v>1318</v>
      </c>
      <c r="B683" s="13" t="s">
        <v>1234</v>
      </c>
      <c r="C683" s="13" t="s">
        <v>1439</v>
      </c>
      <c r="D683" s="11"/>
      <c r="E683" s="11"/>
      <c r="F683" s="13"/>
      <c r="G683" s="47">
        <v>3.13</v>
      </c>
      <c r="H683" s="47" cm="1">
        <f t="array" ref="H683">ROUND(G683*IF(OR(MID(A683,5,3)={"BFF","PRK","FPL","LMB","FFI","MET","RIC","FLR","SUG","OIL","DRK","JCE","FEG"}),1.21,IF(OR(MID(A683,5,3)={"FVG","FFR"}),1.33,IF(OR(MID(A683,5,3)={"FBT","FCH","FMK","FYG","MLK","ICE","FRV","FPO","FRF","FCC","BRD"}),1.28,IF(OR(MID(A683,5,3)={"BIS","CRP","HRB","TUR","IND","HYG"}),1.38,1.31)))),2)</f>
        <v>3.79</v>
      </c>
      <c r="I683" s="27">
        <f>(Table1[[#This Row],[SALE PRICE]]-Table1[[#This Row],[COST PRICE]])/Table1[[#This Row],[SALE PRICE]]</f>
        <v>0.17414248021108183</v>
      </c>
      <c r="J683" s="27" t="str">
        <f>IF(Table1[[#This Row],[MARGIN]]&lt;25%, "REVIEW", "OK")</f>
        <v>REVIEW</v>
      </c>
    </row>
    <row r="684" spans="1:10" ht="15.6" x14ac:dyDescent="0.3">
      <c r="A684" s="18" t="s">
        <v>1319</v>
      </c>
      <c r="B684" s="12" t="s">
        <v>1235</v>
      </c>
      <c r="C684" s="12" t="s">
        <v>1439</v>
      </c>
      <c r="D684" s="10"/>
      <c r="E684" s="10"/>
      <c r="F684" s="12"/>
      <c r="G684" s="46">
        <v>6.6</v>
      </c>
      <c r="H684" s="46" cm="1">
        <f t="array" ref="H684">ROUND(G684*IF(OR(MID(A684,5,3)={"BFF","PRK","FPL","LMB","FFI","MET","RIC","FLR","SUG","OIL","DRK","JCE","FEG"}),1.21,IF(OR(MID(A684,5,3)={"FVG","FFR"}),1.33,IF(OR(MID(A684,5,3)={"FBT","FCH","FMK","FYG","MLK","ICE","FRV","FPO","FRF","FCC","BRD"}),1.28,IF(OR(MID(A684,5,3)={"BIS","CRP","HRB","TUR","IND","HYG"}),1.38,1.31)))),2)</f>
        <v>7.99</v>
      </c>
      <c r="I684" s="29">
        <f>(Table1[[#This Row],[SALE PRICE]]-Table1[[#This Row],[COST PRICE]])/Table1[[#This Row],[SALE PRICE]]</f>
        <v>0.17396745932415525</v>
      </c>
      <c r="J684" s="26" t="str">
        <f>IF(Table1[[#This Row],[MARGIN]]&lt;25%, "REVIEW", "OK")</f>
        <v>REVIEW</v>
      </c>
    </row>
    <row r="685" spans="1:10" ht="15.6" x14ac:dyDescent="0.3">
      <c r="A685" s="18" t="s">
        <v>1320</v>
      </c>
      <c r="B685" s="13" t="s">
        <v>1236</v>
      </c>
      <c r="C685" s="13" t="s">
        <v>1439</v>
      </c>
      <c r="D685" s="11"/>
      <c r="E685" s="11"/>
      <c r="F685" s="13"/>
      <c r="G685" s="47">
        <v>2.5</v>
      </c>
      <c r="H685" s="47" cm="1">
        <f t="array" ref="H685">ROUND(G685*IF(OR(MID(A685,5,3)={"BFF","PRK","FPL","LMB","FFI","MET","RIC","FLR","SUG","OIL","DRK","JCE","FEG"}),1.21,IF(OR(MID(A685,5,3)={"FVG","FFR"}),1.33,IF(OR(MID(A685,5,3)={"FBT","FCH","FMK","FYG","MLK","ICE","FRV","FPO","FRF","FCC","BRD"}),1.28,IF(OR(MID(A685,5,3)={"BIS","CRP","HRB","TUR","IND","HYG"}),1.38,1.31)))),2)</f>
        <v>3.03</v>
      </c>
      <c r="I685" s="27">
        <f>(Table1[[#This Row],[SALE PRICE]]-Table1[[#This Row],[COST PRICE]])/Table1[[#This Row],[SALE PRICE]]</f>
        <v>0.17491749174917487</v>
      </c>
      <c r="J685" s="27" t="str">
        <f>IF(Table1[[#This Row],[MARGIN]]&lt;25%, "REVIEW", "OK")</f>
        <v>REVIEW</v>
      </c>
    </row>
    <row r="686" spans="1:10" ht="15.6" x14ac:dyDescent="0.3">
      <c r="A686" s="18" t="s">
        <v>1321</v>
      </c>
      <c r="B686" s="12" t="s">
        <v>1237</v>
      </c>
      <c r="C686" s="12" t="s">
        <v>1439</v>
      </c>
      <c r="D686" s="10"/>
      <c r="E686" s="10"/>
      <c r="F686" s="12"/>
      <c r="G686" s="46">
        <v>1.5</v>
      </c>
      <c r="H686" s="46" cm="1">
        <f t="array" ref="H686">ROUND(G686*IF(OR(MID(A686,5,3)={"BFF","PRK","FPL","LMB","FFI","MET","RIC","FLR","SUG","OIL","DRK","JCE","FEG"}),1.21,IF(OR(MID(A686,5,3)={"FVG","FFR"}),1.33,IF(OR(MID(A686,5,3)={"FBT","FCH","FMK","FYG","MLK","ICE","FRV","FPO","FRF","FCC","BRD"}),1.28,IF(OR(MID(A686,5,3)={"BIS","CRP","HRB","TUR","IND","HYG"}),1.38,1.31)))),2)</f>
        <v>1.82</v>
      </c>
      <c r="I686" s="29">
        <f>(Table1[[#This Row],[SALE PRICE]]-Table1[[#This Row],[COST PRICE]])/Table1[[#This Row],[SALE PRICE]]</f>
        <v>0.17582417582417587</v>
      </c>
      <c r="J686" s="26" t="str">
        <f>IF(Table1[[#This Row],[MARGIN]]&lt;25%, "REVIEW", "OK")</f>
        <v>REVIEW</v>
      </c>
    </row>
    <row r="687" spans="1:10" ht="15.6" x14ac:dyDescent="0.3">
      <c r="A687" s="18" t="s">
        <v>1322</v>
      </c>
      <c r="B687" s="13" t="s">
        <v>1238</v>
      </c>
      <c r="C687" s="13" t="s">
        <v>1439</v>
      </c>
      <c r="D687" s="11"/>
      <c r="E687" s="11"/>
      <c r="F687" s="13"/>
      <c r="G687" s="47">
        <v>4.09</v>
      </c>
      <c r="H687" s="47" cm="1">
        <f t="array" ref="H687">ROUND(G687*IF(OR(MID(A687,5,3)={"BFF","PRK","FPL","LMB","FFI","MET","RIC","FLR","SUG","OIL","DRK","JCE","FEG"}),1.21,IF(OR(MID(A687,5,3)={"FVG","FFR"}),1.33,IF(OR(MID(A687,5,3)={"FBT","FCH","FMK","FYG","MLK","ICE","FRV","FPO","FRF","FCC","BRD"}),1.28,IF(OR(MID(A687,5,3)={"BIS","CRP","HRB","TUR","IND","HYG"}),1.38,1.31)))),2)</f>
        <v>4.95</v>
      </c>
      <c r="I687" s="27">
        <f>(Table1[[#This Row],[SALE PRICE]]-Table1[[#This Row],[COST PRICE]])/Table1[[#This Row],[SALE PRICE]]</f>
        <v>0.1737373737373738</v>
      </c>
      <c r="J687" s="27" t="str">
        <f>IF(Table1[[#This Row],[MARGIN]]&lt;25%, "REVIEW", "OK")</f>
        <v>REVIEW</v>
      </c>
    </row>
    <row r="688" spans="1:10" ht="15.6" x14ac:dyDescent="0.3">
      <c r="A688" s="18" t="s">
        <v>1323</v>
      </c>
      <c r="B688" s="12" t="s">
        <v>1239</v>
      </c>
      <c r="C688" s="12" t="s">
        <v>1439</v>
      </c>
      <c r="D688" s="10"/>
      <c r="E688" s="10"/>
      <c r="F688" s="12"/>
      <c r="G688" s="46">
        <v>3.35</v>
      </c>
      <c r="H688" s="46" cm="1">
        <f t="array" ref="H688">ROUND(G688*IF(OR(MID(A688,5,3)={"BFF","PRK","FPL","LMB","FFI","MET","RIC","FLR","SUG","OIL","DRK","JCE","FEG"}),1.21,IF(OR(MID(A688,5,3)={"FVG","FFR"}),1.33,IF(OR(MID(A688,5,3)={"FBT","FCH","FMK","FYG","MLK","ICE","FRV","FPO","FRF","FCC","BRD"}),1.28,IF(OR(MID(A688,5,3)={"BIS","CRP","HRB","TUR","IND","HYG"}),1.38,1.31)))),2)</f>
        <v>4.05</v>
      </c>
      <c r="I688" s="29">
        <f>(Table1[[#This Row],[SALE PRICE]]-Table1[[#This Row],[COST PRICE]])/Table1[[#This Row],[SALE PRICE]]</f>
        <v>0.17283950617283944</v>
      </c>
      <c r="J688" s="26" t="str">
        <f>IF(Table1[[#This Row],[MARGIN]]&lt;25%, "REVIEW", "OK")</f>
        <v>REVIEW</v>
      </c>
    </row>
    <row r="689" spans="1:10" ht="15.6" x14ac:dyDescent="0.3">
      <c r="A689" s="18" t="s">
        <v>1324</v>
      </c>
      <c r="B689" s="13" t="s">
        <v>1240</v>
      </c>
      <c r="C689" s="13" t="s">
        <v>1439</v>
      </c>
      <c r="D689" s="11"/>
      <c r="E689" s="11"/>
      <c r="F689" s="13"/>
      <c r="G689" s="47">
        <v>4.09</v>
      </c>
      <c r="H689" s="47" cm="1">
        <f t="array" ref="H689">ROUND(G689*IF(OR(MID(A689,5,3)={"BFF","PRK","FPL","LMB","FFI","MET","RIC","FLR","SUG","OIL","DRK","JCE","FEG"}),1.21,IF(OR(MID(A689,5,3)={"FVG","FFR"}),1.33,IF(OR(MID(A689,5,3)={"FBT","FCH","FMK","FYG","MLK","ICE","FRV","FPO","FRF","FCC","BRD"}),1.28,IF(OR(MID(A689,5,3)={"BIS","CRP","HRB","TUR","IND","HYG"}),1.38,1.31)))),2)</f>
        <v>4.95</v>
      </c>
      <c r="I689" s="27">
        <f>(Table1[[#This Row],[SALE PRICE]]-Table1[[#This Row],[COST PRICE]])/Table1[[#This Row],[SALE PRICE]]</f>
        <v>0.1737373737373738</v>
      </c>
      <c r="J689" s="27" t="str">
        <f>IF(Table1[[#This Row],[MARGIN]]&lt;25%, "REVIEW", "OK")</f>
        <v>REVIEW</v>
      </c>
    </row>
    <row r="690" spans="1:10" ht="15.6" x14ac:dyDescent="0.3">
      <c r="A690" s="18" t="s">
        <v>1325</v>
      </c>
      <c r="B690" s="12" t="s">
        <v>1241</v>
      </c>
      <c r="C690" s="12" t="s">
        <v>1439</v>
      </c>
      <c r="D690" s="10"/>
      <c r="E690" s="10"/>
      <c r="F690" s="12"/>
      <c r="G690" s="46">
        <v>5.0599999999999996</v>
      </c>
      <c r="H690" s="46" cm="1">
        <f t="array" ref="H690">ROUND(G690*IF(OR(MID(A690,5,3)={"BFF","PRK","FPL","LMB","FFI","MET","RIC","FLR","SUG","OIL","DRK","JCE","FEG"}),1.21,IF(OR(MID(A690,5,3)={"FVG","FFR"}),1.33,IF(OR(MID(A690,5,3)={"FBT","FCH","FMK","FYG","MLK","ICE","FRV","FPO","FRF","FCC","BRD"}),1.28,IF(OR(MID(A690,5,3)={"BIS","CRP","HRB","TUR","IND","HYG"}),1.38,1.31)))),2)</f>
        <v>6.12</v>
      </c>
      <c r="I690" s="29">
        <f>(Table1[[#This Row],[SALE PRICE]]-Table1[[#This Row],[COST PRICE]])/Table1[[#This Row],[SALE PRICE]]</f>
        <v>0.17320261437908505</v>
      </c>
      <c r="J690" s="26" t="str">
        <f>IF(Table1[[#This Row],[MARGIN]]&lt;25%, "REVIEW", "OK")</f>
        <v>REVIEW</v>
      </c>
    </row>
    <row r="691" spans="1:10" ht="15.6" x14ac:dyDescent="0.3">
      <c r="A691" s="18" t="s">
        <v>1326</v>
      </c>
      <c r="B691" s="13" t="s">
        <v>1242</v>
      </c>
      <c r="C691" s="13" t="s">
        <v>1439</v>
      </c>
      <c r="D691" s="11"/>
      <c r="E691" s="11"/>
      <c r="F691" s="13"/>
      <c r="G691" s="47">
        <v>2.94</v>
      </c>
      <c r="H691" s="47" cm="1">
        <f t="array" ref="H691">ROUND(G691*IF(OR(MID(A691,5,3)={"BFF","PRK","FPL","LMB","FFI","MET","RIC","FLR","SUG","OIL","DRK","JCE","FEG"}),1.21,IF(OR(MID(A691,5,3)={"FVG","FFR"}),1.33,IF(OR(MID(A691,5,3)={"FBT","FCH","FMK","FYG","MLK","ICE","FRV","FPO","FRF","FCC","BRD"}),1.28,IF(OR(MID(A691,5,3)={"BIS","CRP","HRB","TUR","IND","HYG"}),1.38,1.31)))),2)</f>
        <v>3.56</v>
      </c>
      <c r="I691" s="27">
        <f>(Table1[[#This Row],[SALE PRICE]]-Table1[[#This Row],[COST PRICE]])/Table1[[#This Row],[SALE PRICE]]</f>
        <v>0.17415730337078655</v>
      </c>
      <c r="J691" s="27" t="str">
        <f>IF(Table1[[#This Row],[MARGIN]]&lt;25%, "REVIEW", "OK")</f>
        <v>REVIEW</v>
      </c>
    </row>
    <row r="692" spans="1:10" ht="15.6" x14ac:dyDescent="0.3">
      <c r="A692" s="18" t="s">
        <v>1327</v>
      </c>
      <c r="B692" s="12" t="s">
        <v>1243</v>
      </c>
      <c r="C692" s="12" t="s">
        <v>1439</v>
      </c>
      <c r="D692" s="10"/>
      <c r="E692" s="10"/>
      <c r="F692" s="12"/>
      <c r="G692" s="46">
        <v>4.8499999999999996</v>
      </c>
      <c r="H692" s="46" cm="1">
        <f t="array" ref="H692">ROUND(G692*IF(OR(MID(A692,5,3)={"BFF","PRK","FPL","LMB","FFI","MET","RIC","FLR","SUG","OIL","DRK","JCE","FEG"}),1.21,IF(OR(MID(A692,5,3)={"FVG","FFR"}),1.33,IF(OR(MID(A692,5,3)={"FBT","FCH","FMK","FYG","MLK","ICE","FRV","FPO","FRF","FCC","BRD"}),1.28,IF(OR(MID(A692,5,3)={"BIS","CRP","HRB","TUR","IND","HYG"}),1.38,1.31)))),2)</f>
        <v>5.87</v>
      </c>
      <c r="I692" s="29">
        <f>(Table1[[#This Row],[SALE PRICE]]-Table1[[#This Row],[COST PRICE]])/Table1[[#This Row],[SALE PRICE]]</f>
        <v>0.17376490630323688</v>
      </c>
      <c r="J692" s="26" t="str">
        <f>IF(Table1[[#This Row],[MARGIN]]&lt;25%, "REVIEW", "OK")</f>
        <v>REVIEW</v>
      </c>
    </row>
    <row r="693" spans="1:10" ht="15.6" x14ac:dyDescent="0.3">
      <c r="A693" s="18" t="s">
        <v>1328</v>
      </c>
      <c r="B693" s="13" t="s">
        <v>1244</v>
      </c>
      <c r="C693" s="13" t="s">
        <v>1439</v>
      </c>
      <c r="D693" s="11"/>
      <c r="E693" s="11"/>
      <c r="F693" s="13"/>
      <c r="G693" s="47">
        <v>1.83</v>
      </c>
      <c r="H693" s="47" cm="1">
        <f t="array" ref="H693">ROUND(G693*IF(OR(MID(A693,5,3)={"BFF","PRK","FPL","LMB","FFI","MET","RIC","FLR","SUG","OIL","DRK","JCE","FEG"}),1.21,IF(OR(MID(A693,5,3)={"FVG","FFR"}),1.33,IF(OR(MID(A693,5,3)={"FBT","FCH","FMK","FYG","MLK","ICE","FRV","FPO","FRF","FCC","BRD"}),1.28,IF(OR(MID(A693,5,3)={"BIS","CRP","HRB","TUR","IND","HYG"}),1.38,1.31)))),2)</f>
        <v>2.21</v>
      </c>
      <c r="I693" s="27">
        <f>(Table1[[#This Row],[SALE PRICE]]-Table1[[#This Row],[COST PRICE]])/Table1[[#This Row],[SALE PRICE]]</f>
        <v>0.17194570135746601</v>
      </c>
      <c r="J693" s="27" t="str">
        <f>IF(Table1[[#This Row],[MARGIN]]&lt;25%, "REVIEW", "OK")</f>
        <v>REVIEW</v>
      </c>
    </row>
    <row r="694" spans="1:10" ht="15.6" x14ac:dyDescent="0.3">
      <c r="A694" s="18" t="s">
        <v>1329</v>
      </c>
      <c r="B694" s="12" t="s">
        <v>1245</v>
      </c>
      <c r="C694" s="12" t="s">
        <v>1439</v>
      </c>
      <c r="D694" s="10"/>
      <c r="E694" s="10"/>
      <c r="F694" s="12"/>
      <c r="G694" s="46">
        <v>3.6</v>
      </c>
      <c r="H694" s="46" cm="1">
        <f t="array" ref="H694">ROUND(G694*IF(OR(MID(A694,5,3)={"BFF","PRK","FPL","LMB","FFI","MET","RIC","FLR","SUG","OIL","DRK","JCE","FEG"}),1.21,IF(OR(MID(A694,5,3)={"FVG","FFR"}),1.33,IF(OR(MID(A694,5,3)={"FBT","FCH","FMK","FYG","MLK","ICE","FRV","FPO","FRF","FCC","BRD"}),1.28,IF(OR(MID(A694,5,3)={"BIS","CRP","HRB","TUR","IND","HYG"}),1.38,1.31)))),2)</f>
        <v>4.3600000000000003</v>
      </c>
      <c r="I694" s="29">
        <f>(Table1[[#This Row],[SALE PRICE]]-Table1[[#This Row],[COST PRICE]])/Table1[[#This Row],[SALE PRICE]]</f>
        <v>0.17431192660550462</v>
      </c>
      <c r="J694" s="26" t="str">
        <f>IF(Table1[[#This Row],[MARGIN]]&lt;25%, "REVIEW", "OK")</f>
        <v>REVIEW</v>
      </c>
    </row>
    <row r="695" spans="1:10" ht="15.6" x14ac:dyDescent="0.3">
      <c r="A695" s="18" t="s">
        <v>1330</v>
      </c>
      <c r="B695" s="13" t="s">
        <v>1246</v>
      </c>
      <c r="C695" s="13" t="s">
        <v>1439</v>
      </c>
      <c r="D695" s="11"/>
      <c r="E695" s="11"/>
      <c r="F695" s="13"/>
      <c r="G695" s="47">
        <v>2.99</v>
      </c>
      <c r="H695" s="47" cm="1">
        <f t="array" ref="H695">ROUND(G695*IF(OR(MID(A695,5,3)={"BFF","PRK","FPL","LMB","FFI","MET","RIC","FLR","SUG","OIL","DRK","JCE","FEG"}),1.21,IF(OR(MID(A695,5,3)={"FVG","FFR"}),1.33,IF(OR(MID(A695,5,3)={"FBT","FCH","FMK","FYG","MLK","ICE","FRV","FPO","FRF","FCC","BRD"}),1.28,IF(OR(MID(A695,5,3)={"BIS","CRP","HRB","TUR","IND","HYG"}),1.38,1.31)))),2)</f>
        <v>3.62</v>
      </c>
      <c r="I695" s="27">
        <f>(Table1[[#This Row],[SALE PRICE]]-Table1[[#This Row],[COST PRICE]])/Table1[[#This Row],[SALE PRICE]]</f>
        <v>0.17403314917127069</v>
      </c>
      <c r="J695" s="27" t="str">
        <f>IF(Table1[[#This Row],[MARGIN]]&lt;25%, "REVIEW", "OK")</f>
        <v>REVIEW</v>
      </c>
    </row>
    <row r="696" spans="1:10" ht="15.6" x14ac:dyDescent="0.3">
      <c r="A696" s="18" t="s">
        <v>1331</v>
      </c>
      <c r="B696" s="12" t="s">
        <v>1247</v>
      </c>
      <c r="C696" s="12" t="s">
        <v>1439</v>
      </c>
      <c r="D696" s="10"/>
      <c r="E696" s="10"/>
      <c r="F696" s="12"/>
      <c r="G696" s="46">
        <v>5.12</v>
      </c>
      <c r="H696" s="46" cm="1">
        <f t="array" ref="H696">ROUND(G696*IF(OR(MID(A696,5,3)={"BFF","PRK","FPL","LMB","FFI","MET","RIC","FLR","SUG","OIL","DRK","JCE","FEG"}),1.21,IF(OR(MID(A696,5,3)={"FVG","FFR"}),1.33,IF(OR(MID(A696,5,3)={"FBT","FCH","FMK","FYG","MLK","ICE","FRV","FPO","FRF","FCC","BRD"}),1.28,IF(OR(MID(A696,5,3)={"BIS","CRP","HRB","TUR","IND","HYG"}),1.38,1.31)))),2)</f>
        <v>6.2</v>
      </c>
      <c r="I696" s="29">
        <f>(Table1[[#This Row],[SALE PRICE]]-Table1[[#This Row],[COST PRICE]])/Table1[[#This Row],[SALE PRICE]]</f>
        <v>0.17419354838709677</v>
      </c>
      <c r="J696" s="26" t="str">
        <f>IF(Table1[[#This Row],[MARGIN]]&lt;25%, "REVIEW", "OK")</f>
        <v>REVIEW</v>
      </c>
    </row>
    <row r="697" spans="1:10" ht="15.6" x14ac:dyDescent="0.3">
      <c r="A697" s="18" t="s">
        <v>1332</v>
      </c>
      <c r="B697" s="13" t="s">
        <v>1248</v>
      </c>
      <c r="C697" s="13" t="s">
        <v>1439</v>
      </c>
      <c r="D697" s="11"/>
      <c r="E697" s="11"/>
      <c r="F697" s="13"/>
      <c r="G697" s="47">
        <v>3.51</v>
      </c>
      <c r="H697" s="47" cm="1">
        <f t="array" ref="H697">ROUND(G697*IF(OR(MID(A697,5,3)={"BFF","PRK","FPL","LMB","FFI","MET","RIC","FLR","SUG","OIL","DRK","JCE","FEG"}),1.21,IF(OR(MID(A697,5,3)={"FVG","FFR"}),1.33,IF(OR(MID(A697,5,3)={"FBT","FCH","FMK","FYG","MLK","ICE","FRV","FPO","FRF","FCC","BRD"}),1.28,IF(OR(MID(A697,5,3)={"BIS","CRP","HRB","TUR","IND","HYG"}),1.38,1.31)))),2)</f>
        <v>4.25</v>
      </c>
      <c r="I697" s="27">
        <f>(Table1[[#This Row],[SALE PRICE]]-Table1[[#This Row],[COST PRICE]])/Table1[[#This Row],[SALE PRICE]]</f>
        <v>0.17411764705882357</v>
      </c>
      <c r="J697" s="27" t="str">
        <f>IF(Table1[[#This Row],[MARGIN]]&lt;25%, "REVIEW", "OK")</f>
        <v>REVIEW</v>
      </c>
    </row>
    <row r="698" spans="1:10" ht="15.6" x14ac:dyDescent="0.3">
      <c r="A698" s="18" t="s">
        <v>1333</v>
      </c>
      <c r="B698" s="12" t="s">
        <v>1249</v>
      </c>
      <c r="C698" s="12" t="s">
        <v>1439</v>
      </c>
      <c r="D698" s="10"/>
      <c r="E698" s="10"/>
      <c r="F698" s="12"/>
      <c r="G698" s="46">
        <v>2.58</v>
      </c>
      <c r="H698" s="46" cm="1">
        <f t="array" ref="H698">ROUND(G698*IF(OR(MID(A698,5,3)={"BFF","PRK","FPL","LMB","FFI","MET","RIC","FLR","SUG","OIL","DRK","JCE","FEG"}),1.21,IF(OR(MID(A698,5,3)={"FVG","FFR"}),1.33,IF(OR(MID(A698,5,3)={"FBT","FCH","FMK","FYG","MLK","ICE","FRV","FPO","FRF","FCC","BRD"}),1.28,IF(OR(MID(A698,5,3)={"BIS","CRP","HRB","TUR","IND","HYG"}),1.38,1.31)))),2)</f>
        <v>3.12</v>
      </c>
      <c r="I698" s="29">
        <f>(Table1[[#This Row],[SALE PRICE]]-Table1[[#This Row],[COST PRICE]])/Table1[[#This Row],[SALE PRICE]]</f>
        <v>0.17307692307692307</v>
      </c>
      <c r="J698" s="26" t="str">
        <f>IF(Table1[[#This Row],[MARGIN]]&lt;25%, "REVIEW", "OK")</f>
        <v>REVIEW</v>
      </c>
    </row>
    <row r="699" spans="1:10" ht="15.6" x14ac:dyDescent="0.3">
      <c r="A699" s="18" t="s">
        <v>1334</v>
      </c>
      <c r="B699" s="13" t="s">
        <v>1250</v>
      </c>
      <c r="C699" s="13" t="s">
        <v>1439</v>
      </c>
      <c r="D699" s="11"/>
      <c r="E699" s="11"/>
      <c r="F699" s="13"/>
      <c r="G699" s="47">
        <v>3.79</v>
      </c>
      <c r="H699" s="47" cm="1">
        <f t="array" ref="H699">ROUND(G699*IF(OR(MID(A699,5,3)={"BFF","PRK","FPL","LMB","FFI","MET","RIC","FLR","SUG","OIL","DRK","JCE","FEG"}),1.21,IF(OR(MID(A699,5,3)={"FVG","FFR"}),1.33,IF(OR(MID(A699,5,3)={"FBT","FCH","FMK","FYG","MLK","ICE","FRV","FPO","FRF","FCC","BRD"}),1.28,IF(OR(MID(A699,5,3)={"BIS","CRP","HRB","TUR","IND","HYG"}),1.38,1.31)))),2)</f>
        <v>4.59</v>
      </c>
      <c r="I699" s="27">
        <f>(Table1[[#This Row],[SALE PRICE]]-Table1[[#This Row],[COST PRICE]])/Table1[[#This Row],[SALE PRICE]]</f>
        <v>0.17429193899782131</v>
      </c>
      <c r="J699" s="27" t="str">
        <f>IF(Table1[[#This Row],[MARGIN]]&lt;25%, "REVIEW", "OK")</f>
        <v>REVIEW</v>
      </c>
    </row>
    <row r="700" spans="1:10" ht="31.2" x14ac:dyDescent="0.3">
      <c r="A700" s="18" t="s">
        <v>1335</v>
      </c>
      <c r="B700" s="12" t="s">
        <v>1251</v>
      </c>
      <c r="C700" s="12" t="s">
        <v>1439</v>
      </c>
      <c r="D700" s="10"/>
      <c r="E700" s="10"/>
      <c r="F700" s="12"/>
      <c r="G700" s="46">
        <v>3.86</v>
      </c>
      <c r="H700" s="46" cm="1">
        <f t="array" ref="H700">ROUND(G700*IF(OR(MID(A700,5,3)={"BFF","PRK","FPL","LMB","FFI","MET","RIC","FLR","SUG","OIL","DRK","JCE","FEG"}),1.21,IF(OR(MID(A700,5,3)={"FVG","FFR"}),1.33,IF(OR(MID(A700,5,3)={"FBT","FCH","FMK","FYG","MLK","ICE","FRV","FPO","FRF","FCC","BRD"}),1.28,IF(OR(MID(A700,5,3)={"BIS","CRP","HRB","TUR","IND","HYG"}),1.38,1.31)))),2)</f>
        <v>4.67</v>
      </c>
      <c r="I700" s="29">
        <f>(Table1[[#This Row],[SALE PRICE]]-Table1[[#This Row],[COST PRICE]])/Table1[[#This Row],[SALE PRICE]]</f>
        <v>0.17344753747323341</v>
      </c>
      <c r="J700" s="26" t="str">
        <f>IF(Table1[[#This Row],[MARGIN]]&lt;25%, "REVIEW", "OK")</f>
        <v>REVIEW</v>
      </c>
    </row>
    <row r="701" spans="1:10" ht="15.6" x14ac:dyDescent="0.3">
      <c r="A701" s="18" t="s">
        <v>1336</v>
      </c>
      <c r="B701" s="13" t="s">
        <v>1252</v>
      </c>
      <c r="C701" s="13" t="s">
        <v>1439</v>
      </c>
      <c r="D701" s="11"/>
      <c r="E701" s="11"/>
      <c r="F701" s="13"/>
      <c r="G701" s="47">
        <v>9.99</v>
      </c>
      <c r="H701" s="47" cm="1">
        <f t="array" ref="H701">ROUND(G701*IF(OR(MID(A701,5,3)={"BFF","PRK","FPL","LMB","FFI","MET","RIC","FLR","SUG","OIL","DRK","JCE","FEG"}),1.21,IF(OR(MID(A701,5,3)={"FVG","FFR"}),1.33,IF(OR(MID(A701,5,3)={"FBT","FCH","FMK","FYG","MLK","ICE","FRV","FPO","FRF","FCC","BRD"}),1.28,IF(OR(MID(A701,5,3)={"BIS","CRP","HRB","TUR","IND","HYG"}),1.38,1.31)))),2)</f>
        <v>12.09</v>
      </c>
      <c r="I701" s="27">
        <f>(Table1[[#This Row],[SALE PRICE]]-Table1[[#This Row],[COST PRICE]])/Table1[[#This Row],[SALE PRICE]]</f>
        <v>0.17369727047146399</v>
      </c>
      <c r="J701" s="27" t="str">
        <f>IF(Table1[[#This Row],[MARGIN]]&lt;25%, "REVIEW", "OK")</f>
        <v>REVIEW</v>
      </c>
    </row>
    <row r="702" spans="1:10" ht="15.6" x14ac:dyDescent="0.3">
      <c r="A702" s="18" t="s">
        <v>1337</v>
      </c>
      <c r="B702" s="12" t="s">
        <v>1253</v>
      </c>
      <c r="C702" s="12" t="s">
        <v>1439</v>
      </c>
      <c r="D702" s="10"/>
      <c r="E702" s="10"/>
      <c r="F702" s="12"/>
      <c r="G702" s="46">
        <v>2.56</v>
      </c>
      <c r="H702" s="46" cm="1">
        <f t="array" ref="H702">ROUND(G702*IF(OR(MID(A702,5,3)={"BFF","PRK","FPL","LMB","FFI","MET","RIC","FLR","SUG","OIL","DRK","JCE","FEG"}),1.21,IF(OR(MID(A702,5,3)={"FVG","FFR"}),1.33,IF(OR(MID(A702,5,3)={"FBT","FCH","FMK","FYG","MLK","ICE","FRV","FPO","FRF","FCC","BRD"}),1.28,IF(OR(MID(A702,5,3)={"BIS","CRP","HRB","TUR","IND","HYG"}),1.38,1.31)))),2)</f>
        <v>3.1</v>
      </c>
      <c r="I702" s="29">
        <f>(Table1[[#This Row],[SALE PRICE]]-Table1[[#This Row],[COST PRICE]])/Table1[[#This Row],[SALE PRICE]]</f>
        <v>0.17419354838709677</v>
      </c>
      <c r="J702" s="26" t="str">
        <f>IF(Table1[[#This Row],[MARGIN]]&lt;25%, "REVIEW", "OK")</f>
        <v>REVIEW</v>
      </c>
    </row>
    <row r="703" spans="1:10" ht="15.6" x14ac:dyDescent="0.3">
      <c r="A703" s="18" t="s">
        <v>1338</v>
      </c>
      <c r="B703" s="13" t="s">
        <v>1254</v>
      </c>
      <c r="C703" s="13" t="s">
        <v>1439</v>
      </c>
      <c r="D703" s="11"/>
      <c r="E703" s="11"/>
      <c r="F703" s="13"/>
      <c r="G703" s="47">
        <v>3.16</v>
      </c>
      <c r="H703" s="47" cm="1">
        <f t="array" ref="H703">ROUND(G703*IF(OR(MID(A703,5,3)={"BFF","PRK","FPL","LMB","FFI","MET","RIC","FLR","SUG","OIL","DRK","JCE","FEG"}),1.21,IF(OR(MID(A703,5,3)={"FVG","FFR"}),1.33,IF(OR(MID(A703,5,3)={"FBT","FCH","FMK","FYG","MLK","ICE","FRV","FPO","FRF","FCC","BRD"}),1.28,IF(OR(MID(A703,5,3)={"BIS","CRP","HRB","TUR","IND","HYG"}),1.38,1.31)))),2)</f>
        <v>3.82</v>
      </c>
      <c r="I703" s="27">
        <f>(Table1[[#This Row],[SALE PRICE]]-Table1[[#This Row],[COST PRICE]])/Table1[[#This Row],[SALE PRICE]]</f>
        <v>0.17277486910994758</v>
      </c>
      <c r="J703" s="27" t="str">
        <f>IF(Table1[[#This Row],[MARGIN]]&lt;25%, "REVIEW", "OK")</f>
        <v>REVIEW</v>
      </c>
    </row>
    <row r="704" spans="1:10" ht="15.6" x14ac:dyDescent="0.3">
      <c r="A704" s="18" t="s">
        <v>1339</v>
      </c>
      <c r="B704" s="12" t="s">
        <v>1255</v>
      </c>
      <c r="C704" s="12" t="s">
        <v>1440</v>
      </c>
      <c r="D704" s="10"/>
      <c r="E704" s="10"/>
      <c r="F704" s="12"/>
      <c r="G704" s="46">
        <v>2.4</v>
      </c>
      <c r="H704" s="46" cm="1">
        <f t="array" ref="H704">ROUND(G704*IF(OR(MID(A704,5,3)={"BFF","PRK","FPL","LMB","FFI","MET","RIC","FLR","SUG","OIL","DRK","JCE","FEG"}),1.21,IF(OR(MID(A704,5,3)={"FVG","FFR"}),1.33,IF(OR(MID(A704,5,3)={"FBT","FCH","FMK","FYG","MLK","ICE","FRV","FPO","FRF","FCC","BRD"}),1.28,IF(OR(MID(A704,5,3)={"BIS","CRP","HRB","TUR","IND","HYG"}),1.38,1.31)))),2)</f>
        <v>2.9</v>
      </c>
      <c r="I704" s="29">
        <f>(Table1[[#This Row],[SALE PRICE]]-Table1[[#This Row],[COST PRICE]])/Table1[[#This Row],[SALE PRICE]]</f>
        <v>0.17241379310344829</v>
      </c>
      <c r="J704" s="26" t="str">
        <f>IF(Table1[[#This Row],[MARGIN]]&lt;25%, "REVIEW", "OK")</f>
        <v>REVIEW</v>
      </c>
    </row>
    <row r="705" spans="1:10" ht="15.6" x14ac:dyDescent="0.3">
      <c r="A705" s="18" t="s">
        <v>1340</v>
      </c>
      <c r="B705" s="13" t="s">
        <v>1256</v>
      </c>
      <c r="C705" s="13" t="s">
        <v>1440</v>
      </c>
      <c r="D705" s="11"/>
      <c r="E705" s="11"/>
      <c r="F705" s="13"/>
      <c r="G705" s="47">
        <v>14.75</v>
      </c>
      <c r="H705" s="47" cm="1">
        <f t="array" ref="H705">ROUND(G705*IF(OR(MID(A705,5,3)={"BFF","PRK","FPL","LMB","FFI","MET","RIC","FLR","SUG","OIL","DRK","JCE","FEG"}),1.21,IF(OR(MID(A705,5,3)={"FVG","FFR"}),1.33,IF(OR(MID(A705,5,3)={"FBT","FCH","FMK","FYG","MLK","ICE","FRV","FPO","FRF","FCC","BRD"}),1.28,IF(OR(MID(A705,5,3)={"BIS","CRP","HRB","TUR","IND","HYG"}),1.38,1.31)))),2)</f>
        <v>17.850000000000001</v>
      </c>
      <c r="I705" s="27">
        <f>(Table1[[#This Row],[SALE PRICE]]-Table1[[#This Row],[COST PRICE]])/Table1[[#This Row],[SALE PRICE]]</f>
        <v>0.17366946778711492</v>
      </c>
      <c r="J705" s="27" t="str">
        <f>IF(Table1[[#This Row],[MARGIN]]&lt;25%, "REVIEW", "OK")</f>
        <v>REVIEW</v>
      </c>
    </row>
    <row r="706" spans="1:10" ht="15.6" x14ac:dyDescent="0.3">
      <c r="A706" s="18" t="s">
        <v>1341</v>
      </c>
      <c r="B706" s="12" t="s">
        <v>1257</v>
      </c>
      <c r="C706" s="12" t="s">
        <v>1427</v>
      </c>
      <c r="D706" s="10"/>
      <c r="E706" s="10"/>
      <c r="F706" s="12"/>
      <c r="G706" s="46">
        <v>33.5</v>
      </c>
      <c r="H706" s="46" cm="1">
        <f t="array" ref="H706">ROUND(G706*IF(OR(MID(A706,5,3)={"BFF","PRK","FPL","LMB","FFI","MET","RIC","FLR","SUG","OIL","DRK","JCE","FEG"}),1.21,IF(OR(MID(A706,5,3)={"FVG","FFR"}),1.33,IF(OR(MID(A706,5,3)={"FBT","FCH","FMK","FYG","MLK","ICE","FRV","FPO","FRF","FCC","BRD"}),1.28,IF(OR(MID(A706,5,3)={"BIS","CRP","HRB","TUR","IND","HYG"}),1.38,1.31)))),2)</f>
        <v>40.54</v>
      </c>
      <c r="I706" s="29">
        <f>(Table1[[#This Row],[SALE PRICE]]-Table1[[#This Row],[COST PRICE]])/Table1[[#This Row],[SALE PRICE]]</f>
        <v>0.17365564874198322</v>
      </c>
      <c r="J706" s="26" t="str">
        <f>IF(Table1[[#This Row],[MARGIN]]&lt;25%, "REVIEW", "OK")</f>
        <v>REVIEW</v>
      </c>
    </row>
    <row r="707" spans="1:10" ht="15.6" x14ac:dyDescent="0.3">
      <c r="A707" s="18" t="s">
        <v>1342</v>
      </c>
      <c r="B707" s="13" t="s">
        <v>1258</v>
      </c>
      <c r="C707" s="13" t="s">
        <v>1439</v>
      </c>
      <c r="D707" s="11"/>
      <c r="E707" s="11"/>
      <c r="F707" s="13"/>
      <c r="G707" s="47">
        <v>3.89</v>
      </c>
      <c r="H707" s="47" cm="1">
        <f t="array" ref="H707">ROUND(G707*IF(OR(MID(A707,5,3)={"BFF","PRK","FPL","LMB","FFI","MET","RIC","FLR","SUG","OIL","DRK","JCE","FEG"}),1.21,IF(OR(MID(A707,5,3)={"FVG","FFR"}),1.33,IF(OR(MID(A707,5,3)={"FBT","FCH","FMK","FYG","MLK","ICE","FRV","FPO","FRF","FCC","BRD"}),1.28,IF(OR(MID(A707,5,3)={"BIS","CRP","HRB","TUR","IND","HYG"}),1.38,1.31)))),2)</f>
        <v>4.71</v>
      </c>
      <c r="I707" s="27">
        <f>(Table1[[#This Row],[SALE PRICE]]-Table1[[#This Row],[COST PRICE]])/Table1[[#This Row],[SALE PRICE]]</f>
        <v>0.17409766454352438</v>
      </c>
      <c r="J707" s="27" t="str">
        <f>IF(Table1[[#This Row],[MARGIN]]&lt;25%, "REVIEW", "OK")</f>
        <v>REVIEW</v>
      </c>
    </row>
    <row r="708" spans="1:10" ht="15.6" x14ac:dyDescent="0.3">
      <c r="A708" s="18" t="s">
        <v>1343</v>
      </c>
      <c r="B708" s="12" t="s">
        <v>1259</v>
      </c>
      <c r="C708" s="12" t="s">
        <v>1439</v>
      </c>
      <c r="D708" s="10"/>
      <c r="E708" s="10"/>
      <c r="F708" s="12"/>
      <c r="G708" s="46">
        <v>3.17</v>
      </c>
      <c r="H708" s="46" cm="1">
        <f t="array" ref="H708">ROUND(G708*IF(OR(MID(A708,5,3)={"BFF","PRK","FPL","LMB","FFI","MET","RIC","FLR","SUG","OIL","DRK","JCE","FEG"}),1.21,IF(OR(MID(A708,5,3)={"FVG","FFR"}),1.33,IF(OR(MID(A708,5,3)={"FBT","FCH","FMK","FYG","MLK","ICE","FRV","FPO","FRF","FCC","BRD"}),1.28,IF(OR(MID(A708,5,3)={"BIS","CRP","HRB","TUR","IND","HYG"}),1.38,1.31)))),2)</f>
        <v>3.84</v>
      </c>
      <c r="I708" s="29">
        <f>(Table1[[#This Row],[SALE PRICE]]-Table1[[#This Row],[COST PRICE]])/Table1[[#This Row],[SALE PRICE]]</f>
        <v>0.17447916666666666</v>
      </c>
      <c r="J708" s="26" t="str">
        <f>IF(Table1[[#This Row],[MARGIN]]&lt;25%, "REVIEW", "OK")</f>
        <v>REVIEW</v>
      </c>
    </row>
    <row r="709" spans="1:10" ht="15.6" x14ac:dyDescent="0.3">
      <c r="A709" s="18" t="s">
        <v>1344</v>
      </c>
      <c r="B709" s="13" t="s">
        <v>1260</v>
      </c>
      <c r="C709" s="13" t="s">
        <v>1427</v>
      </c>
      <c r="D709" s="11"/>
      <c r="E709" s="11"/>
      <c r="F709" s="13"/>
      <c r="G709" s="47">
        <v>34</v>
      </c>
      <c r="H709" s="47" cm="1">
        <f t="array" ref="H709">ROUND(G709*IF(OR(MID(A709,5,3)={"BFF","PRK","FPL","LMB","FFI","MET","RIC","FLR","SUG","OIL","DRK","JCE","FEG"}),1.21,IF(OR(MID(A709,5,3)={"FVG","FFR"}),1.33,IF(OR(MID(A709,5,3)={"FBT","FCH","FMK","FYG","MLK","ICE","FRV","FPO","FRF","FCC","BRD"}),1.28,IF(OR(MID(A709,5,3)={"BIS","CRP","HRB","TUR","IND","HYG"}),1.38,1.31)))),2)</f>
        <v>41.14</v>
      </c>
      <c r="I709" s="27">
        <f>(Table1[[#This Row],[SALE PRICE]]-Table1[[#This Row],[COST PRICE]])/Table1[[#This Row],[SALE PRICE]]</f>
        <v>0.17355371900826447</v>
      </c>
      <c r="J709" s="27" t="str">
        <f>IF(Table1[[#This Row],[MARGIN]]&lt;25%, "REVIEW", "OK")</f>
        <v>REVIEW</v>
      </c>
    </row>
    <row r="710" spans="1:10" ht="15.6" x14ac:dyDescent="0.3">
      <c r="A710" s="18" t="s">
        <v>1345</v>
      </c>
      <c r="B710" s="12" t="s">
        <v>1261</v>
      </c>
      <c r="C710" s="12" t="s">
        <v>1439</v>
      </c>
      <c r="D710" s="10"/>
      <c r="E710" s="10"/>
      <c r="F710" s="12"/>
      <c r="G710" s="46">
        <v>0.99</v>
      </c>
      <c r="H710" s="46" cm="1">
        <f t="array" ref="H710">ROUND(G710*IF(OR(MID(A710,5,3)={"BFF","PRK","FPL","LMB","FFI","MET","RIC","FLR","SUG","OIL","DRK","JCE","FEG"}),1.21,IF(OR(MID(A710,5,3)={"FVG","FFR"}),1.33,IF(OR(MID(A710,5,3)={"FBT","FCH","FMK","FYG","MLK","ICE","FRV","FPO","FRF","FCC","BRD"}),1.28,IF(OR(MID(A710,5,3)={"BIS","CRP","HRB","TUR","IND","HYG"}),1.38,1.31)))),2)</f>
        <v>1.2</v>
      </c>
      <c r="I710" s="29">
        <f>(Table1[[#This Row],[SALE PRICE]]-Table1[[#This Row],[COST PRICE]])/Table1[[#This Row],[SALE PRICE]]</f>
        <v>0.17499999999999999</v>
      </c>
      <c r="J710" s="26" t="str">
        <f>IF(Table1[[#This Row],[MARGIN]]&lt;25%, "REVIEW", "OK")</f>
        <v>REVIEW</v>
      </c>
    </row>
    <row r="711" spans="1:10" ht="15.6" x14ac:dyDescent="0.3">
      <c r="A711" s="18" t="s">
        <v>1346</v>
      </c>
      <c r="B711" s="13" t="s">
        <v>1262</v>
      </c>
      <c r="C711" s="13" t="s">
        <v>1439</v>
      </c>
      <c r="D711" s="11"/>
      <c r="E711" s="11"/>
      <c r="F711" s="13"/>
      <c r="G711" s="47">
        <v>2.65</v>
      </c>
      <c r="H711" s="47" cm="1">
        <f t="array" ref="H711">ROUND(G711*IF(OR(MID(A711,5,3)={"BFF","PRK","FPL","LMB","FFI","MET","RIC","FLR","SUG","OIL","DRK","JCE","FEG"}),1.21,IF(OR(MID(A711,5,3)={"FVG","FFR"}),1.33,IF(OR(MID(A711,5,3)={"FBT","FCH","FMK","FYG","MLK","ICE","FRV","FPO","FRF","FCC","BRD"}),1.28,IF(OR(MID(A711,5,3)={"BIS","CRP","HRB","TUR","IND","HYG"}),1.38,1.31)))),2)</f>
        <v>3.21</v>
      </c>
      <c r="I711" s="27">
        <f>(Table1[[#This Row],[SALE PRICE]]-Table1[[#This Row],[COST PRICE]])/Table1[[#This Row],[SALE PRICE]]</f>
        <v>0.17445482866043616</v>
      </c>
      <c r="J711" s="27" t="str">
        <f>IF(Table1[[#This Row],[MARGIN]]&lt;25%, "REVIEW", "OK")</f>
        <v>REVIEW</v>
      </c>
    </row>
    <row r="712" spans="1:10" ht="15.6" x14ac:dyDescent="0.3">
      <c r="A712" s="18" t="s">
        <v>1347</v>
      </c>
      <c r="B712" s="12" t="s">
        <v>1263</v>
      </c>
      <c r="C712" s="12" t="s">
        <v>1439</v>
      </c>
      <c r="D712" s="10"/>
      <c r="E712" s="10"/>
      <c r="F712" s="12"/>
      <c r="G712" s="46">
        <v>3.16</v>
      </c>
      <c r="H712" s="46" cm="1">
        <f t="array" ref="H712">ROUND(G712*IF(OR(MID(A712,5,3)={"BFF","PRK","FPL","LMB","FFI","MET","RIC","FLR","SUG","OIL","DRK","JCE","FEG"}),1.21,IF(OR(MID(A712,5,3)={"FVG","FFR"}),1.33,IF(OR(MID(A712,5,3)={"FBT","FCH","FMK","FYG","MLK","ICE","FRV","FPO","FRF","FCC","BRD"}),1.28,IF(OR(MID(A712,5,3)={"BIS","CRP","HRB","TUR","IND","HYG"}),1.38,1.31)))),2)</f>
        <v>3.82</v>
      </c>
      <c r="I712" s="29">
        <f>(Table1[[#This Row],[SALE PRICE]]-Table1[[#This Row],[COST PRICE]])/Table1[[#This Row],[SALE PRICE]]</f>
        <v>0.17277486910994758</v>
      </c>
      <c r="J712" s="26" t="str">
        <f>IF(Table1[[#This Row],[MARGIN]]&lt;25%, "REVIEW", "OK")</f>
        <v>REVIEW</v>
      </c>
    </row>
    <row r="713" spans="1:10" ht="15.6" x14ac:dyDescent="0.3">
      <c r="A713" s="18" t="s">
        <v>1348</v>
      </c>
      <c r="B713" s="13" t="s">
        <v>1264</v>
      </c>
      <c r="C713" s="13" t="s">
        <v>1439</v>
      </c>
      <c r="D713" s="11"/>
      <c r="E713" s="11"/>
      <c r="F713" s="13"/>
      <c r="G713" s="47">
        <v>2.56</v>
      </c>
      <c r="H713" s="47" cm="1">
        <f t="array" ref="H713">ROUND(G713*IF(OR(MID(A713,5,3)={"BFF","PRK","FPL","LMB","FFI","MET","RIC","FLR","SUG","OIL","DRK","JCE","FEG"}),1.21,IF(OR(MID(A713,5,3)={"FVG","FFR"}),1.33,IF(OR(MID(A713,5,3)={"FBT","FCH","FMK","FYG","MLK","ICE","FRV","FPO","FRF","FCC","BRD"}),1.28,IF(OR(MID(A713,5,3)={"BIS","CRP","HRB","TUR","IND","HYG"}),1.38,1.31)))),2)</f>
        <v>3.1</v>
      </c>
      <c r="I713" s="27">
        <f>(Table1[[#This Row],[SALE PRICE]]-Table1[[#This Row],[COST PRICE]])/Table1[[#This Row],[SALE PRICE]]</f>
        <v>0.17419354838709677</v>
      </c>
      <c r="J713" s="27" t="str">
        <f>IF(Table1[[#This Row],[MARGIN]]&lt;25%, "REVIEW", "OK")</f>
        <v>REVIEW</v>
      </c>
    </row>
    <row r="714" spans="1:10" ht="15.6" x14ac:dyDescent="0.3">
      <c r="A714" s="18" t="s">
        <v>1349</v>
      </c>
      <c r="B714" s="12" t="s">
        <v>1265</v>
      </c>
      <c r="C714" s="12" t="s">
        <v>1439</v>
      </c>
      <c r="D714" s="10"/>
      <c r="E714" s="10"/>
      <c r="F714" s="12"/>
      <c r="G714" s="46">
        <v>3.77</v>
      </c>
      <c r="H714" s="46" cm="1">
        <f t="array" ref="H714">ROUND(G714*IF(OR(MID(A714,5,3)={"BFF","PRK","FPL","LMB","FFI","MET","RIC","FLR","SUG","OIL","DRK","JCE","FEG"}),1.21,IF(OR(MID(A714,5,3)={"FVG","FFR"}),1.33,IF(OR(MID(A714,5,3)={"FBT","FCH","FMK","FYG","MLK","ICE","FRV","FPO","FRF","FCC","BRD"}),1.28,IF(OR(MID(A714,5,3)={"BIS","CRP","HRB","TUR","IND","HYG"}),1.38,1.31)))),2)</f>
        <v>4.5599999999999996</v>
      </c>
      <c r="I714" s="29">
        <f>(Table1[[#This Row],[SALE PRICE]]-Table1[[#This Row],[COST PRICE]])/Table1[[#This Row],[SALE PRICE]]</f>
        <v>0.17324561403508765</v>
      </c>
      <c r="J714" s="26" t="str">
        <f>IF(Table1[[#This Row],[MARGIN]]&lt;25%, "REVIEW", "OK")</f>
        <v>REVIEW</v>
      </c>
    </row>
    <row r="715" spans="1:10" ht="15.6" x14ac:dyDescent="0.3">
      <c r="A715" s="18" t="s">
        <v>1350</v>
      </c>
      <c r="B715" s="13" t="s">
        <v>1266</v>
      </c>
      <c r="C715" s="13" t="s">
        <v>1439</v>
      </c>
      <c r="D715" s="11"/>
      <c r="E715" s="11"/>
      <c r="F715" s="13"/>
      <c r="G715" s="47">
        <v>0.99</v>
      </c>
      <c r="H715" s="47" cm="1">
        <f t="array" ref="H715">ROUND(G715*IF(OR(MID(A715,5,3)={"BFF","PRK","FPL","LMB","FFI","MET","RIC","FLR","SUG","OIL","DRK","JCE","FEG"}),1.21,IF(OR(MID(A715,5,3)={"FVG","FFR"}),1.33,IF(OR(MID(A715,5,3)={"FBT","FCH","FMK","FYG","MLK","ICE","FRV","FPO","FRF","FCC","BRD"}),1.28,IF(OR(MID(A715,5,3)={"BIS","CRP","HRB","TUR","IND","HYG"}),1.38,1.31)))),2)</f>
        <v>1.2</v>
      </c>
      <c r="I715" s="27">
        <f>(Table1[[#This Row],[SALE PRICE]]-Table1[[#This Row],[COST PRICE]])/Table1[[#This Row],[SALE PRICE]]</f>
        <v>0.17499999999999999</v>
      </c>
      <c r="J715" s="27" t="str">
        <f>IF(Table1[[#This Row],[MARGIN]]&lt;25%, "REVIEW", "OK")</f>
        <v>REVIEW</v>
      </c>
    </row>
    <row r="716" spans="1:10" ht="15.6" x14ac:dyDescent="0.3">
      <c r="A716" s="18" t="s">
        <v>1351</v>
      </c>
      <c r="B716" s="12" t="s">
        <v>1267</v>
      </c>
      <c r="C716" s="12" t="s">
        <v>1439</v>
      </c>
      <c r="D716" s="10"/>
      <c r="E716" s="10"/>
      <c r="F716" s="12"/>
      <c r="G716" s="46">
        <v>1.85</v>
      </c>
      <c r="H716" s="46" cm="1">
        <f t="array" ref="H716">ROUND(G716*IF(OR(MID(A716,5,3)={"BFF","PRK","FPL","LMB","FFI","MET","RIC","FLR","SUG","OIL","DRK","JCE","FEG"}),1.21,IF(OR(MID(A716,5,3)={"FVG","FFR"}),1.33,IF(OR(MID(A716,5,3)={"FBT","FCH","FMK","FYG","MLK","ICE","FRV","FPO","FRF","FCC","BRD"}),1.28,IF(OR(MID(A716,5,3)={"BIS","CRP","HRB","TUR","IND","HYG"}),1.38,1.31)))),2)</f>
        <v>2.2400000000000002</v>
      </c>
      <c r="I716" s="29">
        <f>(Table1[[#This Row],[SALE PRICE]]-Table1[[#This Row],[COST PRICE]])/Table1[[#This Row],[SALE PRICE]]</f>
        <v>0.1741071428571429</v>
      </c>
      <c r="J716" s="26" t="str">
        <f>IF(Table1[[#This Row],[MARGIN]]&lt;25%, "REVIEW", "OK")</f>
        <v>REVIEW</v>
      </c>
    </row>
    <row r="717" spans="1:10" ht="15.6" x14ac:dyDescent="0.3">
      <c r="A717" s="18" t="s">
        <v>1352</v>
      </c>
      <c r="B717" s="13" t="s">
        <v>1268</v>
      </c>
      <c r="C717" s="13" t="s">
        <v>1439</v>
      </c>
      <c r="D717" s="11"/>
      <c r="E717" s="11"/>
      <c r="F717" s="13"/>
      <c r="G717" s="47">
        <v>6.95</v>
      </c>
      <c r="H717" s="47" cm="1">
        <f t="array" ref="H717">ROUND(G717*IF(OR(MID(A717,5,3)={"BFF","PRK","FPL","LMB","FFI","MET","RIC","FLR","SUG","OIL","DRK","JCE","FEG"}),1.21,IF(OR(MID(A717,5,3)={"FVG","FFR"}),1.33,IF(OR(MID(A717,5,3)={"FBT","FCH","FMK","FYG","MLK","ICE","FRV","FPO","FRF","FCC","BRD"}),1.28,IF(OR(MID(A717,5,3)={"BIS","CRP","HRB","TUR","IND","HYG"}),1.38,1.31)))),2)</f>
        <v>8.41</v>
      </c>
      <c r="I717" s="27">
        <f>(Table1[[#This Row],[SALE PRICE]]-Table1[[#This Row],[COST PRICE]])/Table1[[#This Row],[SALE PRICE]]</f>
        <v>0.17360285374554102</v>
      </c>
      <c r="J717" s="27" t="str">
        <f>IF(Table1[[#This Row],[MARGIN]]&lt;25%, "REVIEW", "OK")</f>
        <v>REVIEW</v>
      </c>
    </row>
    <row r="718" spans="1:10" ht="15.6" x14ac:dyDescent="0.3">
      <c r="A718" s="18" t="s">
        <v>1353</v>
      </c>
      <c r="B718" s="12" t="s">
        <v>1269</v>
      </c>
      <c r="C718" s="12" t="s">
        <v>1439</v>
      </c>
      <c r="D718" s="10"/>
      <c r="E718" s="10"/>
      <c r="F718" s="12"/>
      <c r="G718" s="46">
        <v>3.79</v>
      </c>
      <c r="H718" s="46" cm="1">
        <f t="array" ref="H718">ROUND(G718*IF(OR(MID(A718,5,3)={"BFF","PRK","FPL","LMB","FFI","MET","RIC","FLR","SUG","OIL","DRK","JCE","FEG"}),1.21,IF(OR(MID(A718,5,3)={"FVG","FFR"}),1.33,IF(OR(MID(A718,5,3)={"FBT","FCH","FMK","FYG","MLK","ICE","FRV","FPO","FRF","FCC","BRD"}),1.28,IF(OR(MID(A718,5,3)={"BIS","CRP","HRB","TUR","IND","HYG"}),1.38,1.31)))),2)</f>
        <v>4.59</v>
      </c>
      <c r="I718" s="29">
        <f>(Table1[[#This Row],[SALE PRICE]]-Table1[[#This Row],[COST PRICE]])/Table1[[#This Row],[SALE PRICE]]</f>
        <v>0.17429193899782131</v>
      </c>
      <c r="J718" s="26" t="str">
        <f>IF(Table1[[#This Row],[MARGIN]]&lt;25%, "REVIEW", "OK")</f>
        <v>REVIEW</v>
      </c>
    </row>
    <row r="719" spans="1:10" ht="15.6" x14ac:dyDescent="0.3">
      <c r="A719" s="18" t="s">
        <v>1354</v>
      </c>
      <c r="B719" s="13" t="s">
        <v>1270</v>
      </c>
      <c r="C719" s="13" t="s">
        <v>1427</v>
      </c>
      <c r="D719" s="11"/>
      <c r="E719" s="11"/>
      <c r="F719" s="13"/>
      <c r="G719" s="47">
        <v>27.6</v>
      </c>
      <c r="H719" s="47" cm="1">
        <f t="array" ref="H719">ROUND(G719*IF(OR(MID(A719,5,3)={"BFF","PRK","FPL","LMB","FFI","MET","RIC","FLR","SUG","OIL","DRK","JCE","FEG"}),1.21,IF(OR(MID(A719,5,3)={"FVG","FFR"}),1.33,IF(OR(MID(A719,5,3)={"FBT","FCH","FMK","FYG","MLK","ICE","FRV","FPO","FRF","FCC","BRD"}),1.28,IF(OR(MID(A719,5,3)={"BIS","CRP","HRB","TUR","IND","HYG"}),1.38,1.31)))),2)</f>
        <v>33.4</v>
      </c>
      <c r="I719" s="27">
        <f>(Table1[[#This Row],[SALE PRICE]]-Table1[[#This Row],[COST PRICE]])/Table1[[#This Row],[SALE PRICE]]</f>
        <v>0.17365269461077837</v>
      </c>
      <c r="J719" s="27" t="str">
        <f>IF(Table1[[#This Row],[MARGIN]]&lt;25%, "REVIEW", "OK")</f>
        <v>REVIEW</v>
      </c>
    </row>
    <row r="720" spans="1:10" ht="15.6" x14ac:dyDescent="0.3">
      <c r="A720" s="18" t="s">
        <v>1355</v>
      </c>
      <c r="B720" s="12" t="s">
        <v>1271</v>
      </c>
      <c r="C720" s="12" t="s">
        <v>1427</v>
      </c>
      <c r="D720" s="10"/>
      <c r="E720" s="10"/>
      <c r="F720" s="12"/>
      <c r="G720" s="46">
        <v>13.5</v>
      </c>
      <c r="H720" s="46" cm="1">
        <f t="array" ref="H720">ROUND(G720*IF(OR(MID(A720,5,3)={"BFF","PRK","FPL","LMB","FFI","MET","RIC","FLR","SUG","OIL","DRK","JCE","FEG"}),1.21,IF(OR(MID(A720,5,3)={"FVG","FFR"}),1.33,IF(OR(MID(A720,5,3)={"FBT","FCH","FMK","FYG","MLK","ICE","FRV","FPO","FRF","FCC","BRD"}),1.28,IF(OR(MID(A720,5,3)={"BIS","CRP","HRB","TUR","IND","HYG"}),1.38,1.31)))),2)</f>
        <v>16.34</v>
      </c>
      <c r="I720" s="29">
        <f>(Table1[[#This Row],[SALE PRICE]]-Table1[[#This Row],[COST PRICE]])/Table1[[#This Row],[SALE PRICE]]</f>
        <v>0.17380660954712362</v>
      </c>
      <c r="J720" s="26" t="str">
        <f>IF(Table1[[#This Row],[MARGIN]]&lt;25%, "REVIEW", "OK")</f>
        <v>REVIEW</v>
      </c>
    </row>
    <row r="721" spans="1:10" ht="15.6" x14ac:dyDescent="0.3">
      <c r="A721" s="18" t="s">
        <v>1356</v>
      </c>
      <c r="B721" s="13" t="s">
        <v>1272</v>
      </c>
      <c r="C721" s="13" t="s">
        <v>1427</v>
      </c>
      <c r="D721" s="11"/>
      <c r="E721" s="11"/>
      <c r="F721" s="13"/>
      <c r="G721" s="47">
        <v>14</v>
      </c>
      <c r="H721" s="47" cm="1">
        <f t="array" ref="H721">ROUND(G721*IF(OR(MID(A721,5,3)={"BFF","PRK","FPL","LMB","FFI","MET","RIC","FLR","SUG","OIL","DRK","JCE","FEG"}),1.21,IF(OR(MID(A721,5,3)={"FVG","FFR"}),1.33,IF(OR(MID(A721,5,3)={"FBT","FCH","FMK","FYG","MLK","ICE","FRV","FPO","FRF","FCC","BRD"}),1.28,IF(OR(MID(A721,5,3)={"BIS","CRP","HRB","TUR","IND","HYG"}),1.38,1.31)))),2)</f>
        <v>16.940000000000001</v>
      </c>
      <c r="I721" s="27">
        <f>(Table1[[#This Row],[SALE PRICE]]-Table1[[#This Row],[COST PRICE]])/Table1[[#This Row],[SALE PRICE]]</f>
        <v>0.17355371900826452</v>
      </c>
      <c r="J721" s="27" t="str">
        <f>IF(Table1[[#This Row],[MARGIN]]&lt;25%, "REVIEW", "OK")</f>
        <v>REVIEW</v>
      </c>
    </row>
    <row r="722" spans="1:10" ht="15.6" x14ac:dyDescent="0.3">
      <c r="A722" s="18" t="s">
        <v>1357</v>
      </c>
      <c r="B722" s="12" t="s">
        <v>1273</v>
      </c>
      <c r="C722" s="12" t="s">
        <v>1439</v>
      </c>
      <c r="D722" s="10"/>
      <c r="E722" s="10"/>
      <c r="F722" s="12"/>
      <c r="G722" s="46">
        <v>4.5</v>
      </c>
      <c r="H722" s="46" cm="1">
        <f t="array" ref="H722">ROUND(G722*IF(OR(MID(A722,5,3)={"BFF","PRK","FPL","LMB","FFI","MET","RIC","FLR","SUG","OIL","DRK","JCE","FEG"}),1.21,IF(OR(MID(A722,5,3)={"FVG","FFR"}),1.33,IF(OR(MID(A722,5,3)={"FBT","FCH","FMK","FYG","MLK","ICE","FRV","FPO","FRF","FCC","BRD"}),1.28,IF(OR(MID(A722,5,3)={"BIS","CRP","HRB","TUR","IND","HYG"}),1.38,1.31)))),2)</f>
        <v>5.45</v>
      </c>
      <c r="I722" s="29">
        <f>(Table1[[#This Row],[SALE PRICE]]-Table1[[#This Row],[COST PRICE]])/Table1[[#This Row],[SALE PRICE]]</f>
        <v>0.17431192660550462</v>
      </c>
      <c r="J722" s="26" t="str">
        <f>IF(Table1[[#This Row],[MARGIN]]&lt;25%, "REVIEW", "OK")</f>
        <v>REVIEW</v>
      </c>
    </row>
    <row r="723" spans="1:10" ht="15.6" x14ac:dyDescent="0.3">
      <c r="A723" s="18" t="s">
        <v>1358</v>
      </c>
      <c r="B723" s="13" t="s">
        <v>1274</v>
      </c>
      <c r="C723" s="13" t="s">
        <v>1439</v>
      </c>
      <c r="D723" s="11"/>
      <c r="E723" s="11"/>
      <c r="F723" s="13"/>
      <c r="G723" s="47">
        <v>5.4</v>
      </c>
      <c r="H723" s="47" cm="1">
        <f t="array" ref="H723">ROUND(G723*IF(OR(MID(A723,5,3)={"BFF","PRK","FPL","LMB","FFI","MET","RIC","FLR","SUG","OIL","DRK","JCE","FEG"}),1.21,IF(OR(MID(A723,5,3)={"FVG","FFR"}),1.33,IF(OR(MID(A723,5,3)={"FBT","FCH","FMK","FYG","MLK","ICE","FRV","FPO","FRF","FCC","BRD"}),1.28,IF(OR(MID(A723,5,3)={"BIS","CRP","HRB","TUR","IND","HYG"}),1.38,1.31)))),2)</f>
        <v>6.53</v>
      </c>
      <c r="I723" s="27">
        <f>(Table1[[#This Row],[SALE PRICE]]-Table1[[#This Row],[COST PRICE]])/Table1[[#This Row],[SALE PRICE]]</f>
        <v>0.17304747320061253</v>
      </c>
      <c r="J723" s="27" t="str">
        <f>IF(Table1[[#This Row],[MARGIN]]&lt;25%, "REVIEW", "OK")</f>
        <v>REVIEW</v>
      </c>
    </row>
    <row r="724" spans="1:10" ht="15.6" x14ac:dyDescent="0.3">
      <c r="A724" s="18" t="s">
        <v>1359</v>
      </c>
      <c r="B724" s="12" t="s">
        <v>1275</v>
      </c>
      <c r="C724" s="12" t="s">
        <v>1439</v>
      </c>
      <c r="D724" s="10"/>
      <c r="E724" s="10"/>
      <c r="F724" s="12"/>
      <c r="G724" s="46">
        <v>7.2</v>
      </c>
      <c r="H724" s="46" cm="1">
        <f t="array" ref="H724">ROUND(G724*IF(OR(MID(A724,5,3)={"BFF","PRK","FPL","LMB","FFI","MET","RIC","FLR","SUG","OIL","DRK","JCE","FEG"}),1.21,IF(OR(MID(A724,5,3)={"FVG","FFR"}),1.33,IF(OR(MID(A724,5,3)={"FBT","FCH","FMK","FYG","MLK","ICE","FRV","FPO","FRF","FCC","BRD"}),1.28,IF(OR(MID(A724,5,3)={"BIS","CRP","HRB","TUR","IND","HYG"}),1.38,1.31)))),2)</f>
        <v>8.7100000000000009</v>
      </c>
      <c r="I724" s="29">
        <f>(Table1[[#This Row],[SALE PRICE]]-Table1[[#This Row],[COST PRICE]])/Table1[[#This Row],[SALE PRICE]]</f>
        <v>0.17336394948335254</v>
      </c>
      <c r="J724" s="26" t="str">
        <f>IF(Table1[[#This Row],[MARGIN]]&lt;25%, "REVIEW", "OK")</f>
        <v>REVIEW</v>
      </c>
    </row>
    <row r="725" spans="1:10" ht="15.6" x14ac:dyDescent="0.3">
      <c r="A725" s="18" t="s">
        <v>1360</v>
      </c>
      <c r="B725" s="13" t="s">
        <v>1276</v>
      </c>
      <c r="C725" s="13" t="s">
        <v>1439</v>
      </c>
      <c r="D725" s="11"/>
      <c r="E725" s="11"/>
      <c r="F725" s="13"/>
      <c r="G725" s="47">
        <v>4.45</v>
      </c>
      <c r="H725" s="47" cm="1">
        <f t="array" ref="H725">ROUND(G725*IF(OR(MID(A725,5,3)={"BFF","PRK","FPL","LMB","FFI","MET","RIC","FLR","SUG","OIL","DRK","JCE","FEG"}),1.21,IF(OR(MID(A725,5,3)={"FVG","FFR"}),1.33,IF(OR(MID(A725,5,3)={"FBT","FCH","FMK","FYG","MLK","ICE","FRV","FPO","FRF","FCC","BRD"}),1.28,IF(OR(MID(A725,5,3)={"BIS","CRP","HRB","TUR","IND","HYG"}),1.38,1.31)))),2)</f>
        <v>5.38</v>
      </c>
      <c r="I725" s="27">
        <f>(Table1[[#This Row],[SALE PRICE]]-Table1[[#This Row],[COST PRICE]])/Table1[[#This Row],[SALE PRICE]]</f>
        <v>0.17286245353159846</v>
      </c>
      <c r="J725" s="27" t="str">
        <f>IF(Table1[[#This Row],[MARGIN]]&lt;25%, "REVIEW", "OK")</f>
        <v>REVIEW</v>
      </c>
    </row>
    <row r="726" spans="1:10" ht="15.6" x14ac:dyDescent="0.3">
      <c r="A726" s="18" t="s">
        <v>1361</v>
      </c>
      <c r="B726" s="12" t="s">
        <v>1277</v>
      </c>
      <c r="C726" s="12" t="s">
        <v>1439</v>
      </c>
      <c r="D726" s="10"/>
      <c r="E726" s="10"/>
      <c r="F726" s="12"/>
      <c r="G726" s="46">
        <v>5.5</v>
      </c>
      <c r="H726" s="46" cm="1">
        <f t="array" ref="H726">ROUND(G726*IF(OR(MID(A726,5,3)={"BFF","PRK","FPL","LMB","FFI","MET","RIC","FLR","SUG","OIL","DRK","JCE","FEG"}),1.21,IF(OR(MID(A726,5,3)={"FVG","FFR"}),1.33,IF(OR(MID(A726,5,3)={"FBT","FCH","FMK","FYG","MLK","ICE","FRV","FPO","FRF","FCC","BRD"}),1.28,IF(OR(MID(A726,5,3)={"BIS","CRP","HRB","TUR","IND","HYG"}),1.38,1.31)))),2)</f>
        <v>6.66</v>
      </c>
      <c r="I726" s="29">
        <f>(Table1[[#This Row],[SALE PRICE]]-Table1[[#This Row],[COST PRICE]])/Table1[[#This Row],[SALE PRICE]]</f>
        <v>0.17417417417417419</v>
      </c>
      <c r="J726" s="26" t="str">
        <f>IF(Table1[[#This Row],[MARGIN]]&lt;25%, "REVIEW", "OK")</f>
        <v>REVIEW</v>
      </c>
    </row>
    <row r="727" spans="1:10" ht="15.6" x14ac:dyDescent="0.3">
      <c r="A727" s="18" t="s">
        <v>1362</v>
      </c>
      <c r="B727" s="13" t="s">
        <v>1278</v>
      </c>
      <c r="C727" s="13" t="s">
        <v>1439</v>
      </c>
      <c r="D727" s="11"/>
      <c r="E727" s="11"/>
      <c r="F727" s="13"/>
      <c r="G727" s="47">
        <v>4.99</v>
      </c>
      <c r="H727" s="47" cm="1">
        <f t="array" ref="H727">ROUND(G727*IF(OR(MID(A727,5,3)={"BFF","PRK","FPL","LMB","FFI","MET","RIC","FLR","SUG","OIL","DRK","JCE","FEG"}),1.21,IF(OR(MID(A727,5,3)={"FVG","FFR"}),1.33,IF(OR(MID(A727,5,3)={"FBT","FCH","FMK","FYG","MLK","ICE","FRV","FPO","FRF","FCC","BRD"}),1.28,IF(OR(MID(A727,5,3)={"BIS","CRP","HRB","TUR","IND","HYG"}),1.38,1.31)))),2)</f>
        <v>6.04</v>
      </c>
      <c r="I727" s="27">
        <f>(Table1[[#This Row],[SALE PRICE]]-Table1[[#This Row],[COST PRICE]])/Table1[[#This Row],[SALE PRICE]]</f>
        <v>0.17384105960264898</v>
      </c>
      <c r="J727" s="27" t="str">
        <f>IF(Table1[[#This Row],[MARGIN]]&lt;25%, "REVIEW", "OK")</f>
        <v>REVIEW</v>
      </c>
    </row>
    <row r="728" spans="1:10" ht="15.6" x14ac:dyDescent="0.3">
      <c r="A728" s="18" t="s">
        <v>1363</v>
      </c>
      <c r="B728" s="12" t="s">
        <v>1279</v>
      </c>
      <c r="C728" s="12" t="s">
        <v>1439</v>
      </c>
      <c r="D728" s="10"/>
      <c r="E728" s="10"/>
      <c r="F728" s="12"/>
      <c r="G728" s="46">
        <v>3.4</v>
      </c>
      <c r="H728" s="46" cm="1">
        <f t="array" ref="H728">ROUND(G728*IF(OR(MID(A728,5,3)={"BFF","PRK","FPL","LMB","FFI","MET","RIC","FLR","SUG","OIL","DRK","JCE","FEG"}),1.21,IF(OR(MID(A728,5,3)={"FVG","FFR"}),1.33,IF(OR(MID(A728,5,3)={"FBT","FCH","FMK","FYG","MLK","ICE","FRV","FPO","FRF","FCC","BRD"}),1.28,IF(OR(MID(A728,5,3)={"BIS","CRP","HRB","TUR","IND","HYG"}),1.38,1.31)))),2)</f>
        <v>4.1100000000000003</v>
      </c>
      <c r="I728" s="29">
        <f>(Table1[[#This Row],[SALE PRICE]]-Table1[[#This Row],[COST PRICE]])/Table1[[#This Row],[SALE PRICE]]</f>
        <v>0.17274939172749401</v>
      </c>
      <c r="J728" s="26" t="str">
        <f>IF(Table1[[#This Row],[MARGIN]]&lt;25%, "REVIEW", "OK")</f>
        <v>REVIEW</v>
      </c>
    </row>
    <row r="729" spans="1:10" ht="15.6" x14ac:dyDescent="0.3">
      <c r="A729" s="18" t="s">
        <v>1364</v>
      </c>
      <c r="B729" s="13" t="s">
        <v>1280</v>
      </c>
      <c r="C729" s="13" t="s">
        <v>1439</v>
      </c>
      <c r="D729" s="11"/>
      <c r="E729" s="11"/>
      <c r="F729" s="13"/>
      <c r="G729" s="47">
        <v>5.99</v>
      </c>
      <c r="H729" s="47" cm="1">
        <f t="array" ref="H729">ROUND(G729*IF(OR(MID(A729,5,3)={"BFF","PRK","FPL","LMB","FFI","MET","RIC","FLR","SUG","OIL","DRK","JCE","FEG"}),1.21,IF(OR(MID(A729,5,3)={"FVG","FFR"}),1.33,IF(OR(MID(A729,5,3)={"FBT","FCH","FMK","FYG","MLK","ICE","FRV","FPO","FRF","FCC","BRD"}),1.28,IF(OR(MID(A729,5,3)={"BIS","CRP","HRB","TUR","IND","HYG"}),1.38,1.31)))),2)</f>
        <v>7.25</v>
      </c>
      <c r="I729" s="27">
        <f>(Table1[[#This Row],[SALE PRICE]]-Table1[[#This Row],[COST PRICE]])/Table1[[#This Row],[SALE PRICE]]</f>
        <v>0.17379310344827584</v>
      </c>
      <c r="J729" s="27" t="str">
        <f>IF(Table1[[#This Row],[MARGIN]]&lt;25%, "REVIEW", "OK")</f>
        <v>REVIEW</v>
      </c>
    </row>
    <row r="730" spans="1:10" ht="15.6" x14ac:dyDescent="0.3">
      <c r="A730" s="18" t="s">
        <v>1365</v>
      </c>
      <c r="B730" s="12" t="s">
        <v>1281</v>
      </c>
      <c r="C730" s="12" t="s">
        <v>1439</v>
      </c>
      <c r="D730" s="10"/>
      <c r="E730" s="10"/>
      <c r="F730" s="12"/>
      <c r="G730" s="46">
        <v>5.2</v>
      </c>
      <c r="H730" s="46" cm="1">
        <f t="array" ref="H730">ROUND(G730*IF(OR(MID(A730,5,3)={"BFF","PRK","FPL","LMB","FFI","MET","RIC","FLR","SUG","OIL","DRK","JCE","FEG"}),1.21,IF(OR(MID(A730,5,3)={"FVG","FFR"}),1.33,IF(OR(MID(A730,5,3)={"FBT","FCH","FMK","FYG","MLK","ICE","FRV","FPO","FRF","FCC","BRD"}),1.28,IF(OR(MID(A730,5,3)={"BIS","CRP","HRB","TUR","IND","HYG"}),1.38,1.31)))),2)</f>
        <v>6.29</v>
      </c>
      <c r="I730" s="29">
        <f>(Table1[[#This Row],[SALE PRICE]]-Table1[[#This Row],[COST PRICE]])/Table1[[#This Row],[SALE PRICE]]</f>
        <v>0.17329093799682033</v>
      </c>
      <c r="J730" s="26" t="str">
        <f>IF(Table1[[#This Row],[MARGIN]]&lt;25%, "REVIEW", "OK")</f>
        <v>REVIEW</v>
      </c>
    </row>
    <row r="731" spans="1:10" ht="15.6" x14ac:dyDescent="0.3">
      <c r="A731" s="18" t="s">
        <v>1366</v>
      </c>
      <c r="B731" s="13" t="s">
        <v>1282</v>
      </c>
      <c r="C731" s="13" t="s">
        <v>1439</v>
      </c>
      <c r="D731" s="11"/>
      <c r="E731" s="11"/>
      <c r="F731" s="13"/>
      <c r="G731" s="47">
        <v>4.95</v>
      </c>
      <c r="H731" s="47" cm="1">
        <f t="array" ref="H731">ROUND(G731*IF(OR(MID(A731,5,3)={"BFF","PRK","FPL","LMB","FFI","MET","RIC","FLR","SUG","OIL","DRK","JCE","FEG"}),1.21,IF(OR(MID(A731,5,3)={"FVG","FFR"}),1.33,IF(OR(MID(A731,5,3)={"FBT","FCH","FMK","FYG","MLK","ICE","FRV","FPO","FRF","FCC","BRD"}),1.28,IF(OR(MID(A731,5,3)={"BIS","CRP","HRB","TUR","IND","HYG"}),1.38,1.31)))),2)</f>
        <v>5.99</v>
      </c>
      <c r="I731" s="27">
        <f>(Table1[[#This Row],[SALE PRICE]]-Table1[[#This Row],[COST PRICE]])/Table1[[#This Row],[SALE PRICE]]</f>
        <v>0.17362270450751252</v>
      </c>
      <c r="J731" s="27" t="str">
        <f>IF(Table1[[#This Row],[MARGIN]]&lt;25%, "REVIEW", "OK")</f>
        <v>REVIEW</v>
      </c>
    </row>
    <row r="732" spans="1:10" ht="15.6" x14ac:dyDescent="0.3">
      <c r="A732" s="18" t="s">
        <v>1367</v>
      </c>
      <c r="B732" s="12" t="s">
        <v>1283</v>
      </c>
      <c r="C732" s="12" t="s">
        <v>1439</v>
      </c>
      <c r="D732" s="10"/>
      <c r="E732" s="10"/>
      <c r="F732" s="12"/>
      <c r="G732" s="46">
        <v>3.99</v>
      </c>
      <c r="H732" s="46" cm="1">
        <f t="array" ref="H732">ROUND(G732*IF(OR(MID(A732,5,3)={"BFF","PRK","FPL","LMB","FFI","MET","RIC","FLR","SUG","OIL","DRK","JCE","FEG"}),1.21,IF(OR(MID(A732,5,3)={"FVG","FFR"}),1.33,IF(OR(MID(A732,5,3)={"FBT","FCH","FMK","FYG","MLK","ICE","FRV","FPO","FRF","FCC","BRD"}),1.28,IF(OR(MID(A732,5,3)={"BIS","CRP","HRB","TUR","IND","HYG"}),1.38,1.31)))),2)</f>
        <v>4.83</v>
      </c>
      <c r="I732" s="29">
        <f>(Table1[[#This Row],[SALE PRICE]]-Table1[[#This Row],[COST PRICE]])/Table1[[#This Row],[SALE PRICE]]</f>
        <v>0.17391304347826084</v>
      </c>
      <c r="J732" s="26" t="str">
        <f>IF(Table1[[#This Row],[MARGIN]]&lt;25%, "REVIEW", "OK")</f>
        <v>REVIEW</v>
      </c>
    </row>
    <row r="733" spans="1:10" s="1" customFormat="1" ht="15.6" x14ac:dyDescent="0.3">
      <c r="A733" s="16"/>
      <c r="B733" s="2"/>
      <c r="C733" s="2"/>
      <c r="D733" s="2"/>
      <c r="E733" s="2"/>
      <c r="F733" s="2"/>
      <c r="G733" s="48"/>
      <c r="H733" s="48" cm="1">
        <f t="array" ref="H733">ROUND(G733*IF(OR(MID(A733,5,3)={"BFF","PRK","FPL","LMB","FFI","MET","RIC","FLR","SUG","OIL","DRK","JCE","FEG"}),1.21,IF(OR(MID(A733,5,3)={"FVG","FFR"}),1.33,IF(OR(MID(A733,5,3)={"FBT","FCH","FMK","FYG","MLK","ICE","FRV","FPO","FRF","FCC","BRD"}),1.28,IF(OR(MID(A733,5,3)={"BIS","CRP","HRB","TUR","IND","HYG"}),1.38,1.31)))),2)</f>
        <v>0</v>
      </c>
      <c r="I733" s="19"/>
      <c r="J733" s="19"/>
    </row>
    <row r="734" spans="1:10" ht="15.6" x14ac:dyDescent="0.3">
      <c r="A734" s="17" t="s">
        <v>720</v>
      </c>
      <c r="B734" s="12" t="s">
        <v>721</v>
      </c>
      <c r="C734" s="12" t="s">
        <v>1429</v>
      </c>
      <c r="D734" s="10" t="s">
        <v>8</v>
      </c>
      <c r="E734" s="10" t="s">
        <v>8</v>
      </c>
      <c r="F734" s="12" t="s">
        <v>8</v>
      </c>
      <c r="G734" s="46">
        <v>19.25</v>
      </c>
      <c r="H734" s="46" cm="1">
        <f t="array" ref="H734">ROUND(G734*IF(OR(MID(A734,5,3)={"BFF","PRK","FPL","LMB","FFI","MET","RIC","FLR","SUG","OIL","DRK","JCE","FEG"}),1.21,IF(OR(MID(A734,5,3)={"FVG","FFR"}),1.33,IF(OR(MID(A734,5,3)={"FBT","FCH","FMK","FYG","MLK","ICE","FRV","FPO","FRF","FCC","BRD"}),1.28,IF(OR(MID(A734,5,3)={"BIS","CRP","HRB","TUR","IND","HYG"}),1.38,1.31)))),2)</f>
        <v>23.29</v>
      </c>
      <c r="I734" s="29">
        <f>(Table1[[#This Row],[SALE PRICE]]-Table1[[#This Row],[COST PRICE]])/Table1[[#This Row],[SALE PRICE]]</f>
        <v>0.17346500644053239</v>
      </c>
      <c r="J734" s="26" t="str">
        <f>IF(Table1[[#This Row],[MARGIN]]&lt;25%, "REVIEW", "OK")</f>
        <v>REVIEW</v>
      </c>
    </row>
    <row r="735" spans="1:10" ht="15.6" x14ac:dyDescent="0.3">
      <c r="A735" s="18" t="s">
        <v>722</v>
      </c>
      <c r="B735" s="13" t="s">
        <v>723</v>
      </c>
      <c r="C735" s="13" t="s">
        <v>1429</v>
      </c>
      <c r="D735" s="11" t="s">
        <v>8</v>
      </c>
      <c r="E735" s="11" t="s">
        <v>8</v>
      </c>
      <c r="F735" s="13" t="s">
        <v>8</v>
      </c>
      <c r="G735" s="47">
        <v>68.989999999999995</v>
      </c>
      <c r="H735" s="47" cm="1">
        <f t="array" ref="H735">ROUND(G735*IF(OR(MID(A735,5,3)={"BFF","PRK","FPL","LMB","FFI","MET","RIC","FLR","SUG","OIL","DRK","JCE","FEG"}),1.21,IF(OR(MID(A735,5,3)={"FVG","FFR"}),1.33,IF(OR(MID(A735,5,3)={"FBT","FCH","FMK","FYG","MLK","ICE","FRV","FPO","FRF","FCC","BRD"}),1.28,IF(OR(MID(A735,5,3)={"BIS","CRP","HRB","TUR","IND","HYG"}),1.38,1.31)))),2)</f>
        <v>83.48</v>
      </c>
      <c r="I735" s="27">
        <f>(Table1[[#This Row],[SALE PRICE]]-Table1[[#This Row],[COST PRICE]])/Table1[[#This Row],[SALE PRICE]]</f>
        <v>0.17357450886439876</v>
      </c>
      <c r="J735" s="27" t="str">
        <f>IF(Table1[[#This Row],[MARGIN]]&lt;25%, "REVIEW", "OK")</f>
        <v>REVIEW</v>
      </c>
    </row>
    <row r="736" spans="1:10" ht="15.6" x14ac:dyDescent="0.3">
      <c r="A736" s="17" t="s">
        <v>724</v>
      </c>
      <c r="B736" s="12" t="s">
        <v>725</v>
      </c>
      <c r="C736" s="12" t="s">
        <v>1439</v>
      </c>
      <c r="D736" s="10" t="s">
        <v>8</v>
      </c>
      <c r="E736" s="10" t="s">
        <v>8</v>
      </c>
      <c r="F736" s="12" t="s">
        <v>1166</v>
      </c>
      <c r="G736" s="46">
        <v>7.49</v>
      </c>
      <c r="H736" s="46" cm="1">
        <f t="array" ref="H736">ROUND(G736*IF(OR(MID(A736,5,3)={"BFF","PRK","FPL","LMB","FFI","MET","RIC","FLR","SUG","OIL","DRK","JCE","FEG"}),1.21,IF(OR(MID(A736,5,3)={"FVG","FFR"}),1.33,IF(OR(MID(A736,5,3)={"FBT","FCH","FMK","FYG","MLK","ICE","FRV","FPO","FRF","FCC","BRD"}),1.28,IF(OR(MID(A736,5,3)={"BIS","CRP","HRB","TUR","IND","HYG"}),1.38,1.31)))),2)</f>
        <v>9.06</v>
      </c>
      <c r="I736" s="29">
        <f>(Table1[[#This Row],[SALE PRICE]]-Table1[[#This Row],[COST PRICE]])/Table1[[#This Row],[SALE PRICE]]</f>
        <v>0.17328918322295808</v>
      </c>
      <c r="J736" s="26" t="str">
        <f>IF(Table1[[#This Row],[MARGIN]]&lt;25%, "REVIEW", "OK")</f>
        <v>REVIEW</v>
      </c>
    </row>
    <row r="737" spans="1:10" ht="15.6" x14ac:dyDescent="0.3">
      <c r="A737" s="18" t="s">
        <v>726</v>
      </c>
      <c r="B737" s="13" t="s">
        <v>727</v>
      </c>
      <c r="C737" s="13" t="s">
        <v>1439</v>
      </c>
      <c r="D737" s="11" t="s">
        <v>8</v>
      </c>
      <c r="E737" s="11" t="s">
        <v>8</v>
      </c>
      <c r="F737" s="13" t="s">
        <v>1166</v>
      </c>
      <c r="G737" s="47">
        <v>8.49</v>
      </c>
      <c r="H737" s="47" cm="1">
        <f t="array" ref="H737">ROUND(G737*IF(OR(MID(A737,5,3)={"BFF","PRK","FPL","LMB","FFI","MET","RIC","FLR","SUG","OIL","DRK","JCE","FEG"}),1.21,IF(OR(MID(A737,5,3)={"FVG","FFR"}),1.33,IF(OR(MID(A737,5,3)={"FBT","FCH","FMK","FYG","MLK","ICE","FRV","FPO","FRF","FCC","BRD"}),1.28,IF(OR(MID(A737,5,3)={"BIS","CRP","HRB","TUR","IND","HYG"}),1.38,1.31)))),2)</f>
        <v>10.27</v>
      </c>
      <c r="I737" s="27">
        <f>(Table1[[#This Row],[SALE PRICE]]-Table1[[#This Row],[COST PRICE]])/Table1[[#This Row],[SALE PRICE]]</f>
        <v>0.17332035053554035</v>
      </c>
      <c r="J737" s="27" t="str">
        <f>IF(Table1[[#This Row],[MARGIN]]&lt;25%, "REVIEW", "OK")</f>
        <v>REVIEW</v>
      </c>
    </row>
    <row r="738" spans="1:10" ht="15.6" x14ac:dyDescent="0.3">
      <c r="A738" s="17" t="s">
        <v>728</v>
      </c>
      <c r="B738" s="12" t="s">
        <v>729</v>
      </c>
      <c r="C738" s="12" t="s">
        <v>1429</v>
      </c>
      <c r="D738" s="10" t="s">
        <v>8</v>
      </c>
      <c r="E738" s="10" t="s">
        <v>8</v>
      </c>
      <c r="F738" s="12" t="s">
        <v>8</v>
      </c>
      <c r="G738" s="46">
        <v>23.65</v>
      </c>
      <c r="H738" s="46" cm="1">
        <f t="array" ref="H738">ROUND(G738*IF(OR(MID(A738,5,3)={"BFF","PRK","FPL","LMB","FFI","MET","RIC","FLR","SUG","OIL","DRK","JCE","FEG"}),1.21,IF(OR(MID(A738,5,3)={"FVG","FFR"}),1.33,IF(OR(MID(A738,5,3)={"FBT","FCH","FMK","FYG","MLK","ICE","FRV","FPO","FRF","FCC","BRD"}),1.28,IF(OR(MID(A738,5,3)={"BIS","CRP","HRB","TUR","IND","HYG"}),1.38,1.31)))),2)</f>
        <v>28.62</v>
      </c>
      <c r="I738" s="29">
        <f>(Table1[[#This Row],[SALE PRICE]]-Table1[[#This Row],[COST PRICE]])/Table1[[#This Row],[SALE PRICE]]</f>
        <v>0.1736547868623341</v>
      </c>
      <c r="J738" s="26" t="str">
        <f>IF(Table1[[#This Row],[MARGIN]]&lt;25%, "REVIEW", "OK")</f>
        <v>REVIEW</v>
      </c>
    </row>
    <row r="739" spans="1:10" ht="15.6" x14ac:dyDescent="0.3">
      <c r="A739" s="18" t="s">
        <v>730</v>
      </c>
      <c r="B739" s="13" t="s">
        <v>731</v>
      </c>
      <c r="C739" s="13" t="s">
        <v>1439</v>
      </c>
      <c r="D739" s="11" t="s">
        <v>8</v>
      </c>
      <c r="E739" s="11" t="s">
        <v>8</v>
      </c>
      <c r="F739" s="13" t="s">
        <v>1166</v>
      </c>
      <c r="G739" s="47">
        <v>19.489999999999998</v>
      </c>
      <c r="H739" s="47" cm="1">
        <f t="array" ref="H739">ROUND(G739*IF(OR(MID(A739,5,3)={"BFF","PRK","FPL","LMB","FFI","MET","RIC","FLR","SUG","OIL","DRK","JCE","FEG"}),1.21,IF(OR(MID(A739,5,3)={"FVG","FFR"}),1.33,IF(OR(MID(A739,5,3)={"FBT","FCH","FMK","FYG","MLK","ICE","FRV","FPO","FRF","FCC","BRD"}),1.28,IF(OR(MID(A739,5,3)={"BIS","CRP","HRB","TUR","IND","HYG"}),1.38,1.31)))),2)</f>
        <v>23.58</v>
      </c>
      <c r="I739" s="27">
        <f>(Table1[[#This Row],[SALE PRICE]]-Table1[[#This Row],[COST PRICE]])/Table1[[#This Row],[SALE PRICE]]</f>
        <v>0.1734520780322307</v>
      </c>
      <c r="J739" s="27" t="str">
        <f>IF(Table1[[#This Row],[MARGIN]]&lt;25%, "REVIEW", "OK")</f>
        <v>REVIEW</v>
      </c>
    </row>
    <row r="740" spans="1:10" ht="15.6" x14ac:dyDescent="0.3">
      <c r="A740" s="18" t="s">
        <v>1178</v>
      </c>
      <c r="B740" s="13" t="s">
        <v>1175</v>
      </c>
      <c r="C740" s="13" t="s">
        <v>1439</v>
      </c>
      <c r="D740" s="11"/>
      <c r="E740" s="11"/>
      <c r="F740" s="13" t="s">
        <v>1166</v>
      </c>
      <c r="G740" s="47">
        <v>13.5</v>
      </c>
      <c r="H740" s="46" cm="1">
        <f t="array" ref="H740">ROUND(G740*IF(OR(MID(A740,5,3)={"BFF","PRK","FPL","LMB","FFI","MET","RIC","FLR","SUG","OIL","DRK","JCE","FEG"}),1.21,IF(OR(MID(A740,5,3)={"FVG","FFR"}),1.33,IF(OR(MID(A740,5,3)={"FBT","FCH","FMK","FYG","MLK","ICE","FRV","FPO","FRF","FCC","BRD"}),1.28,IF(OR(MID(A740,5,3)={"BIS","CRP","HRB","TUR","IND","HYG"}),1.38,1.31)))),2)</f>
        <v>16.34</v>
      </c>
      <c r="I740" s="29">
        <f>(Table1[[#This Row],[SALE PRICE]]-Table1[[#This Row],[COST PRICE]])/Table1[[#This Row],[SALE PRICE]]</f>
        <v>0.17380660954712362</v>
      </c>
      <c r="J740" s="26" t="str">
        <f>IF(Table1[[#This Row],[MARGIN]]&lt;25%, "REVIEW", "OK")</f>
        <v>REVIEW</v>
      </c>
    </row>
    <row r="741" spans="1:10" ht="15.6" x14ac:dyDescent="0.3">
      <c r="A741" s="18" t="s">
        <v>1179</v>
      </c>
      <c r="B741" s="13" t="s">
        <v>1176</v>
      </c>
      <c r="C741" s="13" t="s">
        <v>1439</v>
      </c>
      <c r="D741" s="11"/>
      <c r="E741" s="11"/>
      <c r="F741" s="13" t="s">
        <v>1166</v>
      </c>
      <c r="G741" s="47">
        <v>10.98</v>
      </c>
      <c r="H741" s="47" cm="1">
        <f t="array" ref="H741">ROUND(G741*IF(OR(MID(A741,5,3)={"BFF","PRK","FPL","LMB","FFI","MET","RIC","FLR","SUG","OIL","DRK","JCE","FEG"}),1.21,IF(OR(MID(A741,5,3)={"FVG","FFR"}),1.33,IF(OR(MID(A741,5,3)={"FBT","FCH","FMK","FYG","MLK","ICE","FRV","FPO","FRF","FCC","BRD"}),1.28,IF(OR(MID(A741,5,3)={"BIS","CRP","HRB","TUR","IND","HYG"}),1.38,1.31)))),2)</f>
        <v>13.29</v>
      </c>
      <c r="I741" s="27">
        <f>(Table1[[#This Row],[SALE PRICE]]-Table1[[#This Row],[COST PRICE]])/Table1[[#This Row],[SALE PRICE]]</f>
        <v>0.17381489841986447</v>
      </c>
      <c r="J741" s="27" t="str">
        <f>IF(Table1[[#This Row],[MARGIN]]&lt;25%, "REVIEW", "OK")</f>
        <v>REVIEW</v>
      </c>
    </row>
    <row r="742" spans="1:10" ht="15.6" x14ac:dyDescent="0.3">
      <c r="A742" s="18" t="s">
        <v>1180</v>
      </c>
      <c r="B742" s="13" t="s">
        <v>1177</v>
      </c>
      <c r="C742" s="13" t="s">
        <v>1429</v>
      </c>
      <c r="D742" s="11"/>
      <c r="E742" s="11"/>
      <c r="F742" s="13"/>
      <c r="G742" s="47">
        <v>21.65</v>
      </c>
      <c r="H742" s="46" cm="1">
        <f t="array" ref="H742">ROUND(G742*IF(OR(MID(A742,5,3)={"BFF","PRK","FPL","LMB","FFI","MET","RIC","FLR","SUG","OIL","DRK","JCE","FEG"}),1.21,IF(OR(MID(A742,5,3)={"FVG","FFR"}),1.33,IF(OR(MID(A742,5,3)={"FBT","FCH","FMK","FYG","MLK","ICE","FRV","FPO","FRF","FCC","BRD"}),1.28,IF(OR(MID(A742,5,3)={"BIS","CRP","HRB","TUR","IND","HYG"}),1.38,1.31)))),2)</f>
        <v>26.2</v>
      </c>
      <c r="I742" s="29">
        <f>(Table1[[#This Row],[SALE PRICE]]-Table1[[#This Row],[COST PRICE]])/Table1[[#This Row],[SALE PRICE]]</f>
        <v>0.17366412213740462</v>
      </c>
      <c r="J742" s="26" t="str">
        <f>IF(Table1[[#This Row],[MARGIN]]&lt;25%, "REVIEW", "OK")</f>
        <v>REVIEW</v>
      </c>
    </row>
    <row r="743" spans="1:10" ht="15.6" x14ac:dyDescent="0.3">
      <c r="A743" s="18" t="s">
        <v>1181</v>
      </c>
      <c r="B743" s="13" t="s">
        <v>1889</v>
      </c>
      <c r="C743" s="13" t="s">
        <v>1439</v>
      </c>
      <c r="D743" s="11"/>
      <c r="E743" s="11"/>
      <c r="F743" s="13" t="s">
        <v>1166</v>
      </c>
      <c r="G743" s="47">
        <v>8.49</v>
      </c>
      <c r="H743" s="47" cm="1">
        <f t="array" ref="H743">ROUND(G743*IF(OR(MID(A743,5,3)={"BFF","PRK","FPL","LMB","FFI","MET","RIC","FLR","SUG","OIL","DRK","JCE","FEG"}),1.21,IF(OR(MID(A743,5,3)={"FVG","FFR"}),1.33,IF(OR(MID(A743,5,3)={"FBT","FCH","FMK","FYG","MLK","ICE","FRV","FPO","FRF","FCC","BRD"}),1.28,IF(OR(MID(A743,5,3)={"BIS","CRP","HRB","TUR","IND","HYG"}),1.38,1.31)))),2)</f>
        <v>10.27</v>
      </c>
      <c r="I743" s="27">
        <f>(Table1[[#This Row],[SALE PRICE]]-Table1[[#This Row],[COST PRICE]])/Table1[[#This Row],[SALE PRICE]]</f>
        <v>0.17332035053554035</v>
      </c>
      <c r="J743" s="27" t="str">
        <f>IF(Table1[[#This Row],[MARGIN]]&lt;25%, "REVIEW", "OK")</f>
        <v>REVIEW</v>
      </c>
    </row>
    <row r="744" spans="1:10" ht="15.6" x14ac:dyDescent="0.3">
      <c r="A744" s="18" t="s">
        <v>1185</v>
      </c>
      <c r="B744" s="13" t="s">
        <v>1182</v>
      </c>
      <c r="C744" s="13" t="s">
        <v>1427</v>
      </c>
      <c r="D744" s="11" t="s">
        <v>1171</v>
      </c>
      <c r="E744" s="11"/>
      <c r="F744" s="13"/>
      <c r="G744" s="47">
        <v>39.99</v>
      </c>
      <c r="H744" s="46" cm="1">
        <f t="array" ref="H744">ROUND(G744*IF(OR(MID(A744,5,3)={"BFF","PRK","FPL","LMB","FFI","MET","RIC","FLR","SUG","OIL","DRK","JCE","FEG"}),1.21,IF(OR(MID(A744,5,3)={"FVG","FFR"}),1.33,IF(OR(MID(A744,5,3)={"FBT","FCH","FMK","FYG","MLK","ICE","FRV","FPO","FRF","FCC","BRD"}),1.28,IF(OR(MID(A744,5,3)={"BIS","CRP","HRB","TUR","IND","HYG"}),1.38,1.31)))),2)</f>
        <v>48.39</v>
      </c>
      <c r="I744" s="29">
        <f>(Table1[[#This Row],[SALE PRICE]]-Table1[[#This Row],[COST PRICE]])/Table1[[#This Row],[SALE PRICE]]</f>
        <v>0.17358958462492247</v>
      </c>
      <c r="J744" s="26" t="str">
        <f>IF(Table1[[#This Row],[MARGIN]]&lt;25%, "REVIEW", "OK")</f>
        <v>REVIEW</v>
      </c>
    </row>
    <row r="745" spans="1:10" ht="15.6" x14ac:dyDescent="0.3">
      <c r="A745" s="18" t="s">
        <v>1186</v>
      </c>
      <c r="B745" s="13" t="s">
        <v>1183</v>
      </c>
      <c r="C745" s="13" t="s">
        <v>1427</v>
      </c>
      <c r="D745" s="11" t="s">
        <v>1171</v>
      </c>
      <c r="E745" s="11"/>
      <c r="F745" s="13"/>
      <c r="G745" s="47">
        <v>15.29</v>
      </c>
      <c r="H745" s="47" cm="1">
        <f t="array" ref="H745">ROUND(G745*IF(OR(MID(A745,5,3)={"BFF","PRK","FPL","LMB","FFI","MET","RIC","FLR","SUG","OIL","DRK","JCE","FEG"}),1.21,IF(OR(MID(A745,5,3)={"FVG","FFR"}),1.33,IF(OR(MID(A745,5,3)={"FBT","FCH","FMK","FYG","MLK","ICE","FRV","FPO","FRF","FCC","BRD"}),1.28,IF(OR(MID(A745,5,3)={"BIS","CRP","HRB","TUR","IND","HYG"}),1.38,1.31)))),2)</f>
        <v>18.5</v>
      </c>
      <c r="I745" s="27">
        <f>(Table1[[#This Row],[SALE PRICE]]-Table1[[#This Row],[COST PRICE]])/Table1[[#This Row],[SALE PRICE]]</f>
        <v>0.17351351351351357</v>
      </c>
      <c r="J745" s="27" t="str">
        <f>IF(Table1[[#This Row],[MARGIN]]&lt;25%, "REVIEW", "OK")</f>
        <v>REVIEW</v>
      </c>
    </row>
    <row r="746" spans="1:10" ht="15.6" x14ac:dyDescent="0.3">
      <c r="A746" s="18" t="s">
        <v>1187</v>
      </c>
      <c r="B746" s="13" t="s">
        <v>1184</v>
      </c>
      <c r="C746" s="13" t="s">
        <v>1429</v>
      </c>
      <c r="D746" s="11" t="s">
        <v>1171</v>
      </c>
      <c r="E746" s="11"/>
      <c r="F746" s="13"/>
      <c r="G746" s="47">
        <v>3.29</v>
      </c>
      <c r="H746" s="46" cm="1">
        <f t="array" ref="H746">ROUND(G746*IF(OR(MID(A746,5,3)={"BFF","PRK","FPL","LMB","FFI","MET","RIC","FLR","SUG","OIL","DRK","JCE","FEG"}),1.21,IF(OR(MID(A746,5,3)={"FVG","FFR"}),1.33,IF(OR(MID(A746,5,3)={"FBT","FCH","FMK","FYG","MLK","ICE","FRV","FPO","FRF","FCC","BRD"}),1.28,IF(OR(MID(A746,5,3)={"BIS","CRP","HRB","TUR","IND","HYG"}),1.38,1.31)))),2)</f>
        <v>3.98</v>
      </c>
      <c r="I746" s="29">
        <f>(Table1[[#This Row],[SALE PRICE]]-Table1[[#This Row],[COST PRICE]])/Table1[[#This Row],[SALE PRICE]]</f>
        <v>0.17336683417085424</v>
      </c>
      <c r="J746" s="26" t="str">
        <f>IF(Table1[[#This Row],[MARGIN]]&lt;25%, "REVIEW", "OK")</f>
        <v>REVIEW</v>
      </c>
    </row>
    <row r="747" spans="1:10" s="1" customFormat="1" ht="15.6" x14ac:dyDescent="0.3">
      <c r="A747" s="16" t="s">
        <v>732</v>
      </c>
      <c r="B747" s="2" t="s">
        <v>8</v>
      </c>
      <c r="C747" s="2"/>
      <c r="D747" s="2" t="s">
        <v>8</v>
      </c>
      <c r="E747" s="2" t="s">
        <v>8</v>
      </c>
      <c r="F747" s="2" t="s">
        <v>8</v>
      </c>
      <c r="G747" s="48" t="s">
        <v>8</v>
      </c>
      <c r="H747" s="48" t="e" cm="1">
        <f t="array" ref="H747">ROUND(G747*IF(OR(MID(A747,5,3)={"BFF","PRK","FPL","LMB","FFI","MET","RIC","FLR","SUG","OIL","DRK","JCE","FEG"}),1.21,IF(OR(MID(A747,5,3)={"FVG","FFR"}),1.33,IF(OR(MID(A747,5,3)={"FBT","FCH","FMK","FYG","MLK","ICE","FRV","FPO","FRF","FCC","BRD"}),1.28,IF(OR(MID(A747,5,3)={"BIS","CRP","HRB","TUR","IND","HYG"}),1.38,1.31)))),2)</f>
        <v>#VALUE!</v>
      </c>
      <c r="I747" s="19"/>
      <c r="J747" s="19"/>
    </row>
    <row r="748" spans="1:10" ht="15.6" x14ac:dyDescent="0.3">
      <c r="A748" s="17" t="s">
        <v>733</v>
      </c>
      <c r="B748" s="12" t="s">
        <v>734</v>
      </c>
      <c r="C748" s="12" t="s">
        <v>1428</v>
      </c>
      <c r="D748" s="10" t="s">
        <v>8</v>
      </c>
      <c r="E748" s="10" t="s">
        <v>8</v>
      </c>
      <c r="F748" s="12" t="s">
        <v>8</v>
      </c>
      <c r="G748" s="46">
        <v>5.99</v>
      </c>
      <c r="H748" s="46" cm="1">
        <f t="array" ref="H748">ROUND(G748*IF(OR(MID(A748,5,3)={"BFF","PRK","FPL","LMB","FFI","MET","RIC","FLR","SUG","OIL","DRK","JCE","FEG"}),1.21,IF(OR(MID(A748,5,3)={"FVG","FFR"}),1.33,IF(OR(MID(A748,5,3)={"FBT","FCH","FMK","FYG","MLK","ICE","FRV","FPO","FRF","FCC","BRD"}),1.28,IF(OR(MID(A748,5,3)={"BIS","CRP","HRB","TUR","IND","HYG"}),1.38,1.31)))),2)</f>
        <v>7.67</v>
      </c>
      <c r="I748" s="29">
        <f>(Table1[[#This Row],[SALE PRICE]]-Table1[[#This Row],[COST PRICE]])/Table1[[#This Row],[SALE PRICE]]</f>
        <v>0.21903520208604951</v>
      </c>
      <c r="J748" s="26" t="str">
        <f>IF(Table1[[#This Row],[MARGIN]]&lt;25%, "REVIEW", "OK")</f>
        <v>REVIEW</v>
      </c>
    </row>
    <row r="749" spans="1:10" ht="15.6" x14ac:dyDescent="0.3">
      <c r="A749" s="18" t="s">
        <v>735</v>
      </c>
      <c r="B749" s="13" t="s">
        <v>736</v>
      </c>
      <c r="C749" s="13" t="s">
        <v>1428</v>
      </c>
      <c r="D749" s="11" t="s">
        <v>8</v>
      </c>
      <c r="E749" s="11" t="s">
        <v>8</v>
      </c>
      <c r="F749" s="13" t="s">
        <v>8</v>
      </c>
      <c r="G749" s="47">
        <v>6.23</v>
      </c>
      <c r="H749" s="47" cm="1">
        <f t="array" ref="H749">ROUND(G749*IF(OR(MID(A749,5,3)={"BFF","PRK","FPL","LMB","FFI","MET","RIC","FLR","SUG","OIL","DRK","JCE","FEG"}),1.21,IF(OR(MID(A749,5,3)={"FVG","FFR"}),1.33,IF(OR(MID(A749,5,3)={"FBT","FCH","FMK","FYG","MLK","ICE","FRV","FPO","FRF","FCC","BRD"}),1.28,IF(OR(MID(A749,5,3)={"BIS","CRP","HRB","TUR","IND","HYG"}),1.38,1.31)))),2)</f>
        <v>7.97</v>
      </c>
      <c r="I749" s="27">
        <f>(Table1[[#This Row],[SALE PRICE]]-Table1[[#This Row],[COST PRICE]])/Table1[[#This Row],[SALE PRICE]]</f>
        <v>0.21831869510664986</v>
      </c>
      <c r="J749" s="27" t="str">
        <f>IF(Table1[[#This Row],[MARGIN]]&lt;25%, "REVIEW", "OK")</f>
        <v>REVIEW</v>
      </c>
    </row>
    <row r="750" spans="1:10" ht="15.6" x14ac:dyDescent="0.3">
      <c r="A750" s="17" t="s">
        <v>737</v>
      </c>
      <c r="B750" s="12" t="s">
        <v>738</v>
      </c>
      <c r="C750" s="12" t="s">
        <v>1428</v>
      </c>
      <c r="D750" s="10" t="s">
        <v>8</v>
      </c>
      <c r="E750" s="10" t="s">
        <v>8</v>
      </c>
      <c r="F750" s="12" t="s">
        <v>8</v>
      </c>
      <c r="G750" s="46">
        <v>5.99</v>
      </c>
      <c r="H750" s="46" cm="1">
        <f t="array" ref="H750">ROUND(G750*IF(OR(MID(A750,5,3)={"BFF","PRK","FPL","LMB","FFI","MET","RIC","FLR","SUG","OIL","DRK","JCE","FEG"}),1.21,IF(OR(MID(A750,5,3)={"FVG","FFR"}),1.33,IF(OR(MID(A750,5,3)={"FBT","FCH","FMK","FYG","MLK","ICE","FRV","FPO","FRF","FCC","BRD"}),1.28,IF(OR(MID(A750,5,3)={"BIS","CRP","HRB","TUR","IND","HYG"}),1.38,1.31)))),2)</f>
        <v>7.67</v>
      </c>
      <c r="I750" s="29">
        <f>(Table1[[#This Row],[SALE PRICE]]-Table1[[#This Row],[COST PRICE]])/Table1[[#This Row],[SALE PRICE]]</f>
        <v>0.21903520208604951</v>
      </c>
      <c r="J750" s="26" t="str">
        <f>IF(Table1[[#This Row],[MARGIN]]&lt;25%, "REVIEW", "OK")</f>
        <v>REVIEW</v>
      </c>
    </row>
    <row r="751" spans="1:10" s="1" customFormat="1" ht="15.6" x14ac:dyDescent="0.3">
      <c r="A751" s="16" t="s">
        <v>739</v>
      </c>
      <c r="B751" s="2" t="s">
        <v>8</v>
      </c>
      <c r="C751" s="2"/>
      <c r="D751" s="2" t="s">
        <v>8</v>
      </c>
      <c r="E751" s="2" t="s">
        <v>8</v>
      </c>
      <c r="F751" s="2" t="s">
        <v>8</v>
      </c>
      <c r="G751" s="48" t="s">
        <v>8</v>
      </c>
      <c r="H751" s="48" t="e" cm="1">
        <f t="array" ref="H751">ROUND(G751*IF(OR(MID(A751,5,3)={"BFF","PRK","FPL","LMB","FFI","MET","RIC","FLR","SUG","OIL","DRK","JCE","FEG"}),1.21,IF(OR(MID(A751,5,3)={"FVG","FFR"}),1.33,IF(OR(MID(A751,5,3)={"FBT","FCH","FMK","FYG","MLK","ICE","FRV","FPO","FRF","FCC","BRD"}),1.28,IF(OR(MID(A751,5,3)={"BIS","CRP","HRB","TUR","IND","HYG"}),1.38,1.31)))),2)</f>
        <v>#VALUE!</v>
      </c>
      <c r="I751" s="19"/>
      <c r="J751" s="19"/>
    </row>
    <row r="752" spans="1:10" ht="15.6" x14ac:dyDescent="0.3">
      <c r="A752" s="18" t="s">
        <v>740</v>
      </c>
      <c r="B752" s="13" t="s">
        <v>1370</v>
      </c>
      <c r="C752" s="13" t="s">
        <v>1427</v>
      </c>
      <c r="D752" s="11" t="s">
        <v>8</v>
      </c>
      <c r="E752" s="11" t="s">
        <v>8</v>
      </c>
      <c r="F752" s="13" t="s">
        <v>8</v>
      </c>
      <c r="G752" s="47">
        <v>12.99</v>
      </c>
      <c r="H752" s="46" cm="1">
        <f t="array" ref="H752">ROUND(G752*IF(OR(MID(A752,5,3)={"BFF","PRK","FPL","LMB","FFI","MET","RIC","FLR","SUG","OIL","DRK","JCE","FEG"}),1.21,IF(OR(MID(A752,5,3)={"FVG","FFR"}),1.33,IF(OR(MID(A752,5,3)={"FBT","FCH","FMK","FYG","MLK","ICE","FRV","FPO","FRF","FCC","BRD"}),1.28,IF(OR(MID(A752,5,3)={"BIS","CRP","HRB","TUR","IND","HYG"}),1.38,1.31)))),2)</f>
        <v>16.63</v>
      </c>
      <c r="I752" s="29">
        <f>(Table1[[#This Row],[SALE PRICE]]-Table1[[#This Row],[COST PRICE]])/Table1[[#This Row],[SALE PRICE]]</f>
        <v>0.21888153938665056</v>
      </c>
      <c r="J752" s="26" t="str">
        <f>IF(Table1[[#This Row],[MARGIN]]&lt;25%, "REVIEW", "OK")</f>
        <v>REVIEW</v>
      </c>
    </row>
    <row r="753" spans="1:10" ht="15.6" x14ac:dyDescent="0.3">
      <c r="A753" s="17" t="s">
        <v>741</v>
      </c>
      <c r="B753" s="12" t="s">
        <v>742</v>
      </c>
      <c r="C753" s="12" t="s">
        <v>1427</v>
      </c>
      <c r="D753" s="10" t="s">
        <v>8</v>
      </c>
      <c r="E753" s="10" t="s">
        <v>8</v>
      </c>
      <c r="F753" s="12" t="s">
        <v>8</v>
      </c>
      <c r="G753" s="46">
        <v>19.489999999999998</v>
      </c>
      <c r="H753" s="47" cm="1">
        <f t="array" ref="H753">ROUND(G753*IF(OR(MID(A753,5,3)={"BFF","PRK","FPL","LMB","FFI","MET","RIC","FLR","SUG","OIL","DRK","JCE","FEG"}),1.21,IF(OR(MID(A753,5,3)={"FVG","FFR"}),1.33,IF(OR(MID(A753,5,3)={"FBT","FCH","FMK","FYG","MLK","ICE","FRV","FPO","FRF","FCC","BRD"}),1.28,IF(OR(MID(A753,5,3)={"BIS","CRP","HRB","TUR","IND","HYG"}),1.38,1.31)))),2)</f>
        <v>24.95</v>
      </c>
      <c r="I753" s="27">
        <f>(Table1[[#This Row],[SALE PRICE]]-Table1[[#This Row],[COST PRICE]])/Table1[[#This Row],[SALE PRICE]]</f>
        <v>0.21883767535070145</v>
      </c>
      <c r="J753" s="27" t="str">
        <f>IF(Table1[[#This Row],[MARGIN]]&lt;25%, "REVIEW", "OK")</f>
        <v>REVIEW</v>
      </c>
    </row>
    <row r="754" spans="1:10" ht="15.6" x14ac:dyDescent="0.3">
      <c r="A754" s="18" t="s">
        <v>743</v>
      </c>
      <c r="B754" s="13" t="s">
        <v>744</v>
      </c>
      <c r="C754" s="13" t="s">
        <v>1427</v>
      </c>
      <c r="D754" s="11" t="s">
        <v>8</v>
      </c>
      <c r="E754" s="11" t="s">
        <v>8</v>
      </c>
      <c r="F754" s="13" t="s">
        <v>8</v>
      </c>
      <c r="G754" s="47">
        <v>51.99</v>
      </c>
      <c r="H754" s="46" cm="1">
        <f t="array" ref="H754">ROUND(G754*IF(OR(MID(A754,5,3)={"BFF","PRK","FPL","LMB","FFI","MET","RIC","FLR","SUG","OIL","DRK","JCE","FEG"}),1.21,IF(OR(MID(A754,5,3)={"FVG","FFR"}),1.33,IF(OR(MID(A754,5,3)={"FBT","FCH","FMK","FYG","MLK","ICE","FRV","FPO","FRF","FCC","BRD"}),1.28,IF(OR(MID(A754,5,3)={"BIS","CRP","HRB","TUR","IND","HYG"}),1.38,1.31)))),2)</f>
        <v>66.55</v>
      </c>
      <c r="I754" s="29">
        <f>(Table1[[#This Row],[SALE PRICE]]-Table1[[#This Row],[COST PRICE]])/Table1[[#This Row],[SALE PRICE]]</f>
        <v>0.21878287002253938</v>
      </c>
      <c r="J754" s="26" t="str">
        <f>IF(Table1[[#This Row],[MARGIN]]&lt;25%, "REVIEW", "OK")</f>
        <v>REVIEW</v>
      </c>
    </row>
    <row r="755" spans="1:10" ht="15.6" x14ac:dyDescent="0.3">
      <c r="A755" s="17" t="s">
        <v>745</v>
      </c>
      <c r="B755" s="12" t="s">
        <v>746</v>
      </c>
      <c r="C755" s="12" t="s">
        <v>1427</v>
      </c>
      <c r="D755" s="10" t="s">
        <v>8</v>
      </c>
      <c r="E755" s="10" t="s">
        <v>8</v>
      </c>
      <c r="F755" s="12" t="s">
        <v>8</v>
      </c>
      <c r="G755" s="46">
        <v>13.75</v>
      </c>
      <c r="H755" s="47" cm="1">
        <f t="array" ref="H755">ROUND(G755*IF(OR(MID(A755,5,3)={"BFF","PRK","FPL","LMB","FFI","MET","RIC","FLR","SUG","OIL","DRK","JCE","FEG"}),1.21,IF(OR(MID(A755,5,3)={"FVG","FFR"}),1.33,IF(OR(MID(A755,5,3)={"FBT","FCH","FMK","FYG","MLK","ICE","FRV","FPO","FRF","FCC","BRD"}),1.28,IF(OR(MID(A755,5,3)={"BIS","CRP","HRB","TUR","IND","HYG"}),1.38,1.31)))),2)</f>
        <v>17.600000000000001</v>
      </c>
      <c r="I755" s="27">
        <f>(Table1[[#This Row],[SALE PRICE]]-Table1[[#This Row],[COST PRICE]])/Table1[[#This Row],[SALE PRICE]]</f>
        <v>0.21875000000000006</v>
      </c>
      <c r="J755" s="27" t="str">
        <f>IF(Table1[[#This Row],[MARGIN]]&lt;25%, "REVIEW", "OK")</f>
        <v>REVIEW</v>
      </c>
    </row>
    <row r="756" spans="1:10" ht="15.6" x14ac:dyDescent="0.3">
      <c r="A756" s="18" t="s">
        <v>747</v>
      </c>
      <c r="B756" s="13" t="s">
        <v>748</v>
      </c>
      <c r="C756" s="13" t="s">
        <v>1427</v>
      </c>
      <c r="D756" s="11" t="s">
        <v>8</v>
      </c>
      <c r="E756" s="11" t="s">
        <v>8</v>
      </c>
      <c r="F756" s="13" t="s">
        <v>8</v>
      </c>
      <c r="G756" s="47">
        <v>17</v>
      </c>
      <c r="H756" s="46" cm="1">
        <f t="array" ref="H756">ROUND(G756*IF(OR(MID(A756,5,3)={"BFF","PRK","FPL","LMB","FFI","MET","RIC","FLR","SUG","OIL","DRK","JCE","FEG"}),1.21,IF(OR(MID(A756,5,3)={"FVG","FFR"}),1.33,IF(OR(MID(A756,5,3)={"FBT","FCH","FMK","FYG","MLK","ICE","FRV","FPO","FRF","FCC","BRD"}),1.28,IF(OR(MID(A756,5,3)={"BIS","CRP","HRB","TUR","IND","HYG"}),1.38,1.31)))),2)</f>
        <v>21.76</v>
      </c>
      <c r="I756" s="29">
        <f>(Table1[[#This Row],[SALE PRICE]]-Table1[[#This Row],[COST PRICE]])/Table1[[#This Row],[SALE PRICE]]</f>
        <v>0.21875000000000006</v>
      </c>
      <c r="J756" s="26" t="str">
        <f>IF(Table1[[#This Row],[MARGIN]]&lt;25%, "REVIEW", "OK")</f>
        <v>REVIEW</v>
      </c>
    </row>
    <row r="757" spans="1:10" ht="15.6" x14ac:dyDescent="0.3">
      <c r="A757" s="17" t="s">
        <v>749</v>
      </c>
      <c r="B757" s="12" t="s">
        <v>1372</v>
      </c>
      <c r="C757" s="12" t="s">
        <v>1440</v>
      </c>
      <c r="D757" s="10" t="s">
        <v>8</v>
      </c>
      <c r="E757" s="10" t="s">
        <v>8</v>
      </c>
      <c r="F757" s="12" t="s">
        <v>8</v>
      </c>
      <c r="G757" s="46">
        <v>1.29</v>
      </c>
      <c r="H757" s="47" cm="1">
        <f t="array" ref="H757">ROUND(G757*IF(OR(MID(A757,5,3)={"BFF","PRK","FPL","LMB","FFI","MET","RIC","FLR","SUG","OIL","DRK","JCE","FEG"}),1.21,IF(OR(MID(A757,5,3)={"FVG","FFR"}),1.33,IF(OR(MID(A757,5,3)={"FBT","FCH","FMK","FYG","MLK","ICE","FRV","FPO","FRF","FCC","BRD"}),1.28,IF(OR(MID(A757,5,3)={"BIS","CRP","HRB","TUR","IND","HYG"}),1.38,1.31)))),2)</f>
        <v>1.65</v>
      </c>
      <c r="I757" s="27">
        <f>(Table1[[#This Row],[SALE PRICE]]-Table1[[#This Row],[COST PRICE]])/Table1[[#This Row],[SALE PRICE]]</f>
        <v>0.21818181818181812</v>
      </c>
      <c r="J757" s="27" t="str">
        <f>IF(Table1[[#This Row],[MARGIN]]&lt;25%, "REVIEW", "OK")</f>
        <v>REVIEW</v>
      </c>
    </row>
    <row r="758" spans="1:10" ht="15.6" x14ac:dyDescent="0.3">
      <c r="A758" s="18" t="s">
        <v>750</v>
      </c>
      <c r="B758" s="13" t="s">
        <v>1373</v>
      </c>
      <c r="C758" s="13" t="s">
        <v>1440</v>
      </c>
      <c r="D758" s="11" t="s">
        <v>8</v>
      </c>
      <c r="E758" s="11" t="s">
        <v>8</v>
      </c>
      <c r="F758" s="13" t="s">
        <v>8</v>
      </c>
      <c r="G758" s="47">
        <v>0.8</v>
      </c>
      <c r="H758" s="46" cm="1">
        <f t="array" ref="H758">ROUND(G758*IF(OR(MID(A758,5,3)={"BFF","PRK","FPL","LMB","FFI","MET","RIC","FLR","SUG","OIL","DRK","JCE","FEG"}),1.21,IF(OR(MID(A758,5,3)={"FVG","FFR"}),1.33,IF(OR(MID(A758,5,3)={"FBT","FCH","FMK","FYG","MLK","ICE","FRV","FPO","FRF","FCC","BRD"}),1.28,IF(OR(MID(A758,5,3)={"BIS","CRP","HRB","TUR","IND","HYG"}),1.38,1.31)))),2)</f>
        <v>1.02</v>
      </c>
      <c r="I758" s="29">
        <f>(Table1[[#This Row],[SALE PRICE]]-Table1[[#This Row],[COST PRICE]])/Table1[[#This Row],[SALE PRICE]]</f>
        <v>0.2156862745098039</v>
      </c>
      <c r="J758" s="26" t="str">
        <f>IF(Table1[[#This Row],[MARGIN]]&lt;25%, "REVIEW", "OK")</f>
        <v>REVIEW</v>
      </c>
    </row>
    <row r="759" spans="1:10" ht="31.2" x14ac:dyDescent="0.3">
      <c r="A759" s="17" t="s">
        <v>751</v>
      </c>
      <c r="B759" s="12" t="s">
        <v>1371</v>
      </c>
      <c r="C759" s="12" t="s">
        <v>1427</v>
      </c>
      <c r="D759" s="10" t="s">
        <v>8</v>
      </c>
      <c r="E759" s="10" t="s">
        <v>8</v>
      </c>
      <c r="F759" s="12" t="s">
        <v>8</v>
      </c>
      <c r="G759" s="46">
        <v>10.35</v>
      </c>
      <c r="H759" s="47" cm="1">
        <f t="array" ref="H759">ROUND(G759*IF(OR(MID(A759,5,3)={"BFF","PRK","FPL","LMB","FFI","MET","RIC","FLR","SUG","OIL","DRK","JCE","FEG"}),1.21,IF(OR(MID(A759,5,3)={"FVG","FFR"}),1.33,IF(OR(MID(A759,5,3)={"FBT","FCH","FMK","FYG","MLK","ICE","FRV","FPO","FRF","FCC","BRD"}),1.28,IF(OR(MID(A759,5,3)={"BIS","CRP","HRB","TUR","IND","HYG"}),1.38,1.31)))),2)</f>
        <v>13.25</v>
      </c>
      <c r="I759" s="27">
        <f>(Table1[[#This Row],[SALE PRICE]]-Table1[[#This Row],[COST PRICE]])/Table1[[#This Row],[SALE PRICE]]</f>
        <v>0.21886792452830192</v>
      </c>
      <c r="J759" s="27" t="str">
        <f>IF(Table1[[#This Row],[MARGIN]]&lt;25%, "REVIEW", "OK")</f>
        <v>REVIEW</v>
      </c>
    </row>
    <row r="760" spans="1:10" ht="15.6" x14ac:dyDescent="0.3">
      <c r="A760" s="18" t="s">
        <v>752</v>
      </c>
      <c r="B760" s="13" t="s">
        <v>753</v>
      </c>
      <c r="C760" s="13" t="s">
        <v>1427</v>
      </c>
      <c r="D760" s="11" t="s">
        <v>8</v>
      </c>
      <c r="E760" s="11" t="s">
        <v>8</v>
      </c>
      <c r="F760" s="13" t="s">
        <v>8</v>
      </c>
      <c r="G760" s="47">
        <v>13.99</v>
      </c>
      <c r="H760" s="46" cm="1">
        <f t="array" ref="H760">ROUND(G760*IF(OR(MID(A760,5,3)={"BFF","PRK","FPL","LMB","FFI","MET","RIC","FLR","SUG","OIL","DRK","JCE","FEG"}),1.21,IF(OR(MID(A760,5,3)={"FVG","FFR"}),1.33,IF(OR(MID(A760,5,3)={"FBT","FCH","FMK","FYG","MLK","ICE","FRV","FPO","FRF","FCC","BRD"}),1.28,IF(OR(MID(A760,5,3)={"BIS","CRP","HRB","TUR","IND","HYG"}),1.38,1.31)))),2)</f>
        <v>17.91</v>
      </c>
      <c r="I760" s="29">
        <f>(Table1[[#This Row],[SALE PRICE]]-Table1[[#This Row],[COST PRICE]])/Table1[[#This Row],[SALE PRICE]]</f>
        <v>0.2188721384701284</v>
      </c>
      <c r="J760" s="26" t="str">
        <f>IF(Table1[[#This Row],[MARGIN]]&lt;25%, "REVIEW", "OK")</f>
        <v>REVIEW</v>
      </c>
    </row>
    <row r="761" spans="1:10" ht="15.6" x14ac:dyDescent="0.3">
      <c r="A761" s="17" t="s">
        <v>754</v>
      </c>
      <c r="B761" s="12" t="s">
        <v>755</v>
      </c>
      <c r="C761" s="12" t="s">
        <v>1427</v>
      </c>
      <c r="D761" s="10" t="s">
        <v>8</v>
      </c>
      <c r="E761" s="10" t="s">
        <v>8</v>
      </c>
      <c r="F761" s="12" t="s">
        <v>8</v>
      </c>
      <c r="G761" s="46">
        <v>15.55</v>
      </c>
      <c r="H761" s="47" cm="1">
        <f t="array" ref="H761">ROUND(G761*IF(OR(MID(A761,5,3)={"BFF","PRK","FPL","LMB","FFI","MET","RIC","FLR","SUG","OIL","DRK","JCE","FEG"}),1.21,IF(OR(MID(A761,5,3)={"FVG","FFR"}),1.33,IF(OR(MID(A761,5,3)={"FBT","FCH","FMK","FYG","MLK","ICE","FRV","FPO","FRF","FCC","BRD"}),1.28,IF(OR(MID(A761,5,3)={"BIS","CRP","HRB","TUR","IND","HYG"}),1.38,1.31)))),2)</f>
        <v>19.899999999999999</v>
      </c>
      <c r="I761" s="27">
        <f>(Table1[[#This Row],[SALE PRICE]]-Table1[[#This Row],[COST PRICE]])/Table1[[#This Row],[SALE PRICE]]</f>
        <v>0.21859296482412052</v>
      </c>
      <c r="J761" s="27" t="str">
        <f>IF(Table1[[#This Row],[MARGIN]]&lt;25%, "REVIEW", "OK")</f>
        <v>REVIEW</v>
      </c>
    </row>
    <row r="762" spans="1:10" ht="15.6" x14ac:dyDescent="0.3">
      <c r="A762" s="17" t="s">
        <v>756</v>
      </c>
      <c r="B762" s="12" t="s">
        <v>1044</v>
      </c>
      <c r="C762" s="12" t="s">
        <v>1440</v>
      </c>
      <c r="D762" s="10"/>
      <c r="E762" s="10"/>
      <c r="F762" s="12"/>
      <c r="G762" s="46">
        <v>2.89</v>
      </c>
      <c r="H762" s="46" cm="1">
        <f t="array" ref="H762">ROUND(G762*IF(OR(MID(A762,5,3)={"BFF","PRK","FPL","LMB","FFI","MET","RIC","FLR","SUG","OIL","DRK","JCE","FEG"}),1.21,IF(OR(MID(A762,5,3)={"FVG","FFR"}),1.33,IF(OR(MID(A762,5,3)={"FBT","FCH","FMK","FYG","MLK","ICE","FRV","FPO","FRF","FCC","BRD"}),1.28,IF(OR(MID(A762,5,3)={"BIS","CRP","HRB","TUR","IND","HYG"}),1.38,1.31)))),2)</f>
        <v>3.7</v>
      </c>
      <c r="I762" s="29">
        <f>(Table1[[#This Row],[SALE PRICE]]-Table1[[#This Row],[COST PRICE]])/Table1[[#This Row],[SALE PRICE]]</f>
        <v>0.21891891891891893</v>
      </c>
      <c r="J762" s="26" t="str">
        <f>IF(Table1[[#This Row],[MARGIN]]&lt;25%, "REVIEW", "OK")</f>
        <v>REVIEW</v>
      </c>
    </row>
    <row r="763" spans="1:10" ht="15.6" x14ac:dyDescent="0.3">
      <c r="A763" s="17" t="s">
        <v>758</v>
      </c>
      <c r="B763" s="13" t="s">
        <v>757</v>
      </c>
      <c r="C763" s="13" t="s">
        <v>1427</v>
      </c>
      <c r="D763" s="11" t="s">
        <v>8</v>
      </c>
      <c r="E763" s="11" t="s">
        <v>8</v>
      </c>
      <c r="F763" s="13" t="s">
        <v>8</v>
      </c>
      <c r="G763" s="47">
        <v>15.55</v>
      </c>
      <c r="H763" s="47" cm="1">
        <f t="array" ref="H763">ROUND(G763*IF(OR(MID(A763,5,3)={"BFF","PRK","FPL","LMB","FFI","MET","RIC","FLR","SUG","OIL","DRK","JCE","FEG"}),1.21,IF(OR(MID(A763,5,3)={"FVG","FFR"}),1.33,IF(OR(MID(A763,5,3)={"FBT","FCH","FMK","FYG","MLK","ICE","FRV","FPO","FRF","FCC","BRD"}),1.28,IF(OR(MID(A763,5,3)={"BIS","CRP","HRB","TUR","IND","HYG"}),1.38,1.31)))),2)</f>
        <v>19.899999999999999</v>
      </c>
      <c r="I763" s="27">
        <f>(Table1[[#This Row],[SALE PRICE]]-Table1[[#This Row],[COST PRICE]])/Table1[[#This Row],[SALE PRICE]]</f>
        <v>0.21859296482412052</v>
      </c>
      <c r="J763" s="27" t="str">
        <f>IF(Table1[[#This Row],[MARGIN]]&lt;25%, "REVIEW", "OK")</f>
        <v>REVIEW</v>
      </c>
    </row>
    <row r="764" spans="1:10" ht="15.6" x14ac:dyDescent="0.3">
      <c r="A764" s="17" t="s">
        <v>760</v>
      </c>
      <c r="B764" s="12" t="s">
        <v>759</v>
      </c>
      <c r="C764" s="12" t="s">
        <v>1427</v>
      </c>
      <c r="D764" s="10" t="s">
        <v>8</v>
      </c>
      <c r="E764" s="10" t="s">
        <v>8</v>
      </c>
      <c r="F764" s="12" t="s">
        <v>8</v>
      </c>
      <c r="G764" s="46">
        <v>28.99</v>
      </c>
      <c r="H764" s="46" cm="1">
        <f t="array" ref="H764">ROUND(G764*IF(OR(MID(A764,5,3)={"BFF","PRK","FPL","LMB","FFI","MET","RIC","FLR","SUG","OIL","DRK","JCE","FEG"}),1.21,IF(OR(MID(A764,5,3)={"FVG","FFR"}),1.33,IF(OR(MID(A764,5,3)={"FBT","FCH","FMK","FYG","MLK","ICE","FRV","FPO","FRF","FCC","BRD"}),1.28,IF(OR(MID(A764,5,3)={"BIS","CRP","HRB","TUR","IND","HYG"}),1.38,1.31)))),2)</f>
        <v>37.11</v>
      </c>
      <c r="I764" s="29">
        <f>(Table1[[#This Row],[SALE PRICE]]-Table1[[#This Row],[COST PRICE]])/Table1[[#This Row],[SALE PRICE]]</f>
        <v>0.21880894637564002</v>
      </c>
      <c r="J764" s="26" t="str">
        <f>IF(Table1[[#This Row],[MARGIN]]&lt;25%, "REVIEW", "OK")</f>
        <v>REVIEW</v>
      </c>
    </row>
    <row r="765" spans="1:10" ht="15.6" x14ac:dyDescent="0.3">
      <c r="A765" s="17" t="s">
        <v>1045</v>
      </c>
      <c r="B765" s="13" t="s">
        <v>761</v>
      </c>
      <c r="C765" s="13" t="s">
        <v>1427</v>
      </c>
      <c r="D765" s="11" t="s">
        <v>8</v>
      </c>
      <c r="E765" s="11" t="s">
        <v>8</v>
      </c>
      <c r="F765" s="13" t="s">
        <v>8</v>
      </c>
      <c r="G765" s="47">
        <v>10.49</v>
      </c>
      <c r="H765" s="47" cm="1">
        <f t="array" ref="H765">ROUND(G765*IF(OR(MID(A765,5,3)={"BFF","PRK","FPL","LMB","FFI","MET","RIC","FLR","SUG","OIL","DRK","JCE","FEG"}),1.21,IF(OR(MID(A765,5,3)={"FVG","FFR"}),1.33,IF(OR(MID(A765,5,3)={"FBT","FCH","FMK","FYG","MLK","ICE","FRV","FPO","FRF","FCC","BRD"}),1.28,IF(OR(MID(A765,5,3)={"BIS","CRP","HRB","TUR","IND","HYG"}),1.38,1.31)))),2)</f>
        <v>13.43</v>
      </c>
      <c r="I765" s="27">
        <f>(Table1[[#This Row],[SALE PRICE]]-Table1[[#This Row],[COST PRICE]])/Table1[[#This Row],[SALE PRICE]]</f>
        <v>0.21891288160833949</v>
      </c>
      <c r="J765" s="27" t="str">
        <f>IF(Table1[[#This Row],[MARGIN]]&lt;25%, "REVIEW", "OK")</f>
        <v>REVIEW</v>
      </c>
    </row>
    <row r="766" spans="1:10" s="1" customFormat="1" ht="15.6" x14ac:dyDescent="0.3">
      <c r="A766" s="16" t="s">
        <v>762</v>
      </c>
      <c r="B766" s="2" t="s">
        <v>8</v>
      </c>
      <c r="C766" s="2"/>
      <c r="D766" s="2" t="s">
        <v>8</v>
      </c>
      <c r="E766" s="2" t="s">
        <v>8</v>
      </c>
      <c r="F766" s="2" t="s">
        <v>8</v>
      </c>
      <c r="G766" s="48" t="s">
        <v>8</v>
      </c>
      <c r="H766" s="48" t="e" cm="1">
        <f t="array" ref="H766">ROUND(G766*IF(OR(MID(A766,5,3)={"BFF","PRK","FPL","LMB","FFI","MET","RIC","FLR","SUG","OIL","DRK","JCE","FEG"}),1.21,IF(OR(MID(A766,5,3)={"FVG","FFR"}),1.33,IF(OR(MID(A766,5,3)={"FBT","FCH","FMK","FYG","MLK","ICE","FRV","FPO","FRF","FCC","BRD"}),1.28,IF(OR(MID(A766,5,3)={"BIS","CRP","HRB","TUR","IND","HYG"}),1.38,1.31)))),2)</f>
        <v>#VALUE!</v>
      </c>
      <c r="I766" s="19"/>
      <c r="J766" s="19"/>
    </row>
    <row r="767" spans="1:10" ht="15.6" x14ac:dyDescent="0.3">
      <c r="A767" s="17" t="s">
        <v>763</v>
      </c>
      <c r="B767" s="12" t="s">
        <v>764</v>
      </c>
      <c r="C767" s="12" t="s">
        <v>1434</v>
      </c>
      <c r="D767" s="10" t="s">
        <v>8</v>
      </c>
      <c r="E767" s="10" t="s">
        <v>8</v>
      </c>
      <c r="F767" s="12" t="s">
        <v>8</v>
      </c>
      <c r="G767" s="46">
        <v>5.29</v>
      </c>
      <c r="H767" s="47" cm="1">
        <f t="array" ref="H767">ROUND(G767*IF(OR(MID(A767,5,3)={"BFF","PRK","FPL","LMB","FFI","MET","RIC","FLR","SUG","OIL","DRK","JCE","FEG"}),1.21,IF(OR(MID(A767,5,3)={"FVG","FFR"}),1.33,IF(OR(MID(A767,5,3)={"FBT","FCH","FMK","FYG","MLK","ICE","FRV","FPO","FRF","FCC","BRD"}),1.28,IF(OR(MID(A767,5,3)={"BIS","CRP","HRB","TUR","IND","HYG"}),1.38,1.31)))),2)</f>
        <v>6.77</v>
      </c>
      <c r="I767" s="27">
        <f>(Table1[[#This Row],[SALE PRICE]]-Table1[[#This Row],[COST PRICE]])/Table1[[#This Row],[SALE PRICE]]</f>
        <v>0.21861152141802062</v>
      </c>
      <c r="J767" s="27" t="str">
        <f>IF(Table1[[#This Row],[MARGIN]]&lt;25%, "REVIEW", "OK")</f>
        <v>REVIEW</v>
      </c>
    </row>
    <row r="768" spans="1:10" ht="15.6" x14ac:dyDescent="0.3">
      <c r="A768" s="18" t="s">
        <v>765</v>
      </c>
      <c r="B768" s="13" t="s">
        <v>766</v>
      </c>
      <c r="C768" s="13" t="s">
        <v>1434</v>
      </c>
      <c r="D768" s="11" t="s">
        <v>8</v>
      </c>
      <c r="E768" s="11" t="s">
        <v>8</v>
      </c>
      <c r="F768" s="13" t="s">
        <v>8</v>
      </c>
      <c r="G768" s="47">
        <v>2.99</v>
      </c>
      <c r="H768" s="46" cm="1">
        <f t="array" ref="H768">ROUND(G768*IF(OR(MID(A768,5,3)={"BFF","PRK","FPL","LMB","FFI","MET","RIC","FLR","SUG","OIL","DRK","JCE","FEG"}),1.21,IF(OR(MID(A768,5,3)={"FVG","FFR"}),1.33,IF(OR(MID(A768,5,3)={"FBT","FCH","FMK","FYG","MLK","ICE","FRV","FPO","FRF","FCC","BRD"}),1.28,IF(OR(MID(A768,5,3)={"BIS","CRP","HRB","TUR","IND","HYG"}),1.38,1.31)))),2)</f>
        <v>3.83</v>
      </c>
      <c r="I768" s="29">
        <f>(Table1[[#This Row],[SALE PRICE]]-Table1[[#This Row],[COST PRICE]])/Table1[[#This Row],[SALE PRICE]]</f>
        <v>0.21932114882506523</v>
      </c>
      <c r="J768" s="26" t="str">
        <f>IF(Table1[[#This Row],[MARGIN]]&lt;25%, "REVIEW", "OK")</f>
        <v>REVIEW</v>
      </c>
    </row>
    <row r="769" spans="1:10" ht="15.6" x14ac:dyDescent="0.3">
      <c r="A769" s="17" t="s">
        <v>767</v>
      </c>
      <c r="B769" s="12" t="s">
        <v>768</v>
      </c>
      <c r="C769" s="12" t="s">
        <v>1434</v>
      </c>
      <c r="D769" s="10" t="s">
        <v>8</v>
      </c>
      <c r="E769" s="10" t="s">
        <v>8</v>
      </c>
      <c r="F769" s="12" t="s">
        <v>8</v>
      </c>
      <c r="G769" s="46">
        <v>1.49</v>
      </c>
      <c r="H769" s="47" cm="1">
        <f t="array" ref="H769">ROUND(G769*IF(OR(MID(A769,5,3)={"BFF","PRK","FPL","LMB","FFI","MET","RIC","FLR","SUG","OIL","DRK","JCE","FEG"}),1.21,IF(OR(MID(A769,5,3)={"FVG","FFR"}),1.33,IF(OR(MID(A769,5,3)={"FBT","FCH","FMK","FYG","MLK","ICE","FRV","FPO","FRF","FCC","BRD"}),1.28,IF(OR(MID(A769,5,3)={"BIS","CRP","HRB","TUR","IND","HYG"}),1.38,1.31)))),2)</f>
        <v>1.91</v>
      </c>
      <c r="I769" s="27">
        <f>(Table1[[#This Row],[SALE PRICE]]-Table1[[#This Row],[COST PRICE]])/Table1[[#This Row],[SALE PRICE]]</f>
        <v>0.21989528795811517</v>
      </c>
      <c r="J769" s="27" t="str">
        <f>IF(Table1[[#This Row],[MARGIN]]&lt;25%, "REVIEW", "OK")</f>
        <v>REVIEW</v>
      </c>
    </row>
    <row r="770" spans="1:10" ht="15.6" x14ac:dyDescent="0.3">
      <c r="A770" s="18" t="s">
        <v>769</v>
      </c>
      <c r="B770" s="13" t="s">
        <v>770</v>
      </c>
      <c r="C770" s="13" t="s">
        <v>1434</v>
      </c>
      <c r="D770" s="11" t="s">
        <v>8</v>
      </c>
      <c r="E770" s="11" t="s">
        <v>8</v>
      </c>
      <c r="F770" s="13" t="s">
        <v>8</v>
      </c>
      <c r="G770" s="47">
        <v>1.49</v>
      </c>
      <c r="H770" s="46" cm="1">
        <f t="array" ref="H770">ROUND(G770*IF(OR(MID(A770,5,3)={"BFF","PRK","FPL","LMB","FFI","MET","RIC","FLR","SUG","OIL","DRK","JCE","FEG"}),1.21,IF(OR(MID(A770,5,3)={"FVG","FFR"}),1.33,IF(OR(MID(A770,5,3)={"FBT","FCH","FMK","FYG","MLK","ICE","FRV","FPO","FRF","FCC","BRD"}),1.28,IF(OR(MID(A770,5,3)={"BIS","CRP","HRB","TUR","IND","HYG"}),1.38,1.31)))),2)</f>
        <v>1.91</v>
      </c>
      <c r="I770" s="29">
        <f>(Table1[[#This Row],[SALE PRICE]]-Table1[[#This Row],[COST PRICE]])/Table1[[#This Row],[SALE PRICE]]</f>
        <v>0.21989528795811517</v>
      </c>
      <c r="J770" s="26" t="str">
        <f>IF(Table1[[#This Row],[MARGIN]]&lt;25%, "REVIEW", "OK")</f>
        <v>REVIEW</v>
      </c>
    </row>
    <row r="771" spans="1:10" ht="15.6" x14ac:dyDescent="0.3">
      <c r="A771" s="17" t="s">
        <v>771</v>
      </c>
      <c r="B771" s="12" t="s">
        <v>772</v>
      </c>
      <c r="C771" s="12" t="s">
        <v>1434</v>
      </c>
      <c r="D771" s="10" t="s">
        <v>8</v>
      </c>
      <c r="E771" s="10" t="s">
        <v>8</v>
      </c>
      <c r="F771" s="12" t="s">
        <v>8</v>
      </c>
      <c r="G771" s="46">
        <v>1.49</v>
      </c>
      <c r="H771" s="47" cm="1">
        <f t="array" ref="H771">ROUND(G771*IF(OR(MID(A771,5,3)={"BFF","PRK","FPL","LMB","FFI","MET","RIC","FLR","SUG","OIL","DRK","JCE","FEG"}),1.21,IF(OR(MID(A771,5,3)={"FVG","FFR"}),1.33,IF(OR(MID(A771,5,3)={"FBT","FCH","FMK","FYG","MLK","ICE","FRV","FPO","FRF","FCC","BRD"}),1.28,IF(OR(MID(A771,5,3)={"BIS","CRP","HRB","TUR","IND","HYG"}),1.38,1.31)))),2)</f>
        <v>1.91</v>
      </c>
      <c r="I771" s="27">
        <f>(Table1[[#This Row],[SALE PRICE]]-Table1[[#This Row],[COST PRICE]])/Table1[[#This Row],[SALE PRICE]]</f>
        <v>0.21989528795811517</v>
      </c>
      <c r="J771" s="27" t="str">
        <f>IF(Table1[[#This Row],[MARGIN]]&lt;25%, "REVIEW", "OK")</f>
        <v>REVIEW</v>
      </c>
    </row>
    <row r="772" spans="1:10" ht="15.6" x14ac:dyDescent="0.3">
      <c r="A772" s="18" t="s">
        <v>773</v>
      </c>
      <c r="B772" s="13" t="s">
        <v>1442</v>
      </c>
      <c r="C772" s="13" t="s">
        <v>1434</v>
      </c>
      <c r="D772" s="11" t="s">
        <v>8</v>
      </c>
      <c r="E772" s="11" t="s">
        <v>8</v>
      </c>
      <c r="F772" s="13" t="s">
        <v>8</v>
      </c>
      <c r="G772" s="47">
        <v>4.99</v>
      </c>
      <c r="H772" s="46" cm="1">
        <f t="array" ref="H772">ROUND(G772*IF(OR(MID(A772,5,3)={"BFF","PRK","FPL","LMB","FFI","MET","RIC","FLR","SUG","OIL","DRK","JCE","FEG"}),1.21,IF(OR(MID(A772,5,3)={"FVG","FFR"}),1.33,IF(OR(MID(A772,5,3)={"FBT","FCH","FMK","FYG","MLK","ICE","FRV","FPO","FRF","FCC","BRD"}),1.28,IF(OR(MID(A772,5,3)={"BIS","CRP","HRB","TUR","IND","HYG"}),1.38,1.31)))),2)</f>
        <v>6.39</v>
      </c>
      <c r="I772" s="29">
        <f>(Table1[[#This Row],[SALE PRICE]]-Table1[[#This Row],[COST PRICE]])/Table1[[#This Row],[SALE PRICE]]</f>
        <v>0.21909233176838802</v>
      </c>
      <c r="J772" s="26" t="str">
        <f>IF(Table1[[#This Row],[MARGIN]]&lt;25%, "REVIEW", "OK")</f>
        <v>REVIEW</v>
      </c>
    </row>
    <row r="773" spans="1:10" s="1" customFormat="1" ht="31.2" x14ac:dyDescent="0.3">
      <c r="A773" s="16" t="s">
        <v>774</v>
      </c>
      <c r="B773" s="2" t="s">
        <v>8</v>
      </c>
      <c r="C773" s="2"/>
      <c r="D773" s="2" t="s">
        <v>8</v>
      </c>
      <c r="E773" s="2" t="s">
        <v>8</v>
      </c>
      <c r="F773" s="2" t="s">
        <v>8</v>
      </c>
      <c r="G773" s="48" t="s">
        <v>8</v>
      </c>
      <c r="H773" s="48" t="e" cm="1">
        <f t="array" ref="H773">ROUND(G773*IF(OR(MID(A773,5,3)={"BFF","PRK","FPL","LMB","FFI","MET","RIC","FLR","SUG","OIL","DRK","JCE","FEG"}),1.21,IF(OR(MID(A773,5,3)={"FVG","FFR"}),1.33,IF(OR(MID(A773,5,3)={"FBT","FCH","FMK","FYG","MLK","ICE","FRV","FPO","FRF","FCC","BRD"}),1.28,IF(OR(MID(A773,5,3)={"BIS","CRP","HRB","TUR","IND","HYG"}),1.38,1.31)))),2)</f>
        <v>#VALUE!</v>
      </c>
      <c r="I773" s="19"/>
      <c r="J773" s="19"/>
    </row>
    <row r="774" spans="1:10" ht="15.6" x14ac:dyDescent="0.3">
      <c r="A774" s="17" t="s">
        <v>775</v>
      </c>
      <c r="B774" s="12" t="s">
        <v>1443</v>
      </c>
      <c r="C774" s="12" t="s">
        <v>1428</v>
      </c>
      <c r="D774" s="10" t="s">
        <v>8</v>
      </c>
      <c r="E774" s="10" t="s">
        <v>8</v>
      </c>
      <c r="F774" s="12" t="s">
        <v>8</v>
      </c>
      <c r="G774" s="46">
        <v>10.99</v>
      </c>
      <c r="H774" s="46" cm="1">
        <f t="array" ref="H774">ROUND(G774*IF(OR(MID(A774,5,3)={"BFF","PRK","FPL","LMB","FFI","MET","RIC","FLR","SUG","OIL","DRK","JCE","FEG"}),1.21,IF(OR(MID(A774,5,3)={"FVG","FFR"}),1.33,IF(OR(MID(A774,5,3)={"FBT","FCH","FMK","FYG","MLK","ICE","FRV","FPO","FRF","FCC","BRD"}),1.28,IF(OR(MID(A774,5,3)={"BIS","CRP","HRB","TUR","IND","HYG"}),1.38,1.31)))),2)</f>
        <v>14.07</v>
      </c>
      <c r="I774" s="29">
        <f>(Table1[[#This Row],[SALE PRICE]]-Table1[[#This Row],[COST PRICE]])/Table1[[#This Row],[SALE PRICE]]</f>
        <v>0.21890547263681592</v>
      </c>
      <c r="J774" s="26" t="str">
        <f>IF(Table1[[#This Row],[MARGIN]]&lt;25%, "REVIEW", "OK")</f>
        <v>REVIEW</v>
      </c>
    </row>
    <row r="775" spans="1:10" ht="15.6" x14ac:dyDescent="0.3">
      <c r="A775" s="18" t="s">
        <v>776</v>
      </c>
      <c r="B775" s="13" t="s">
        <v>777</v>
      </c>
      <c r="C775" s="13" t="s">
        <v>1428</v>
      </c>
      <c r="D775" s="11" t="s">
        <v>8</v>
      </c>
      <c r="E775" s="11" t="s">
        <v>8</v>
      </c>
      <c r="F775" s="13" t="s">
        <v>8</v>
      </c>
      <c r="G775" s="47">
        <v>2.99</v>
      </c>
      <c r="H775" s="47" cm="1">
        <f t="array" ref="H775">ROUND(G775*IF(OR(MID(A775,5,3)={"BFF","PRK","FPL","LMB","FFI","MET","RIC","FLR","SUG","OIL","DRK","JCE","FEG"}),1.21,IF(OR(MID(A775,5,3)={"FVG","FFR"}),1.33,IF(OR(MID(A775,5,3)={"FBT","FCH","FMK","FYG","MLK","ICE","FRV","FPO","FRF","FCC","BRD"}),1.28,IF(OR(MID(A775,5,3)={"BIS","CRP","HRB","TUR","IND","HYG"}),1.38,1.31)))),2)</f>
        <v>3.83</v>
      </c>
      <c r="I775" s="27">
        <f>(Table1[[#This Row],[SALE PRICE]]-Table1[[#This Row],[COST PRICE]])/Table1[[#This Row],[SALE PRICE]]</f>
        <v>0.21932114882506523</v>
      </c>
      <c r="J775" s="27" t="str">
        <f>IF(Table1[[#This Row],[MARGIN]]&lt;25%, "REVIEW", "OK")</f>
        <v>REVIEW</v>
      </c>
    </row>
    <row r="776" spans="1:10" ht="15.6" x14ac:dyDescent="0.3">
      <c r="A776" s="17" t="s">
        <v>778</v>
      </c>
      <c r="B776" s="12" t="s">
        <v>779</v>
      </c>
      <c r="C776" s="12" t="s">
        <v>1430</v>
      </c>
      <c r="D776" s="10" t="s">
        <v>8</v>
      </c>
      <c r="E776" s="10" t="s">
        <v>8</v>
      </c>
      <c r="F776" s="12" t="s">
        <v>8</v>
      </c>
      <c r="G776" s="46">
        <v>9.0500000000000007</v>
      </c>
      <c r="H776" s="46" cm="1">
        <f t="array" ref="H776">ROUND(G776*IF(OR(MID(A776,5,3)={"BFF","PRK","FPL","LMB","FFI","MET","RIC","FLR","SUG","OIL","DRK","JCE","FEG"}),1.21,IF(OR(MID(A776,5,3)={"FVG","FFR"}),1.33,IF(OR(MID(A776,5,3)={"FBT","FCH","FMK","FYG","MLK","ICE","FRV","FPO","FRF","FCC","BRD"}),1.28,IF(OR(MID(A776,5,3)={"BIS","CRP","HRB","TUR","IND","HYG"}),1.38,1.31)))),2)</f>
        <v>11.58</v>
      </c>
      <c r="I776" s="29">
        <f>(Table1[[#This Row],[SALE PRICE]]-Table1[[#This Row],[COST PRICE]])/Table1[[#This Row],[SALE PRICE]]</f>
        <v>0.21848013816925729</v>
      </c>
      <c r="J776" s="26" t="str">
        <f>IF(Table1[[#This Row],[MARGIN]]&lt;25%, "REVIEW", "OK")</f>
        <v>REVIEW</v>
      </c>
    </row>
    <row r="777" spans="1:10" s="1" customFormat="1" ht="15.6" x14ac:dyDescent="0.3">
      <c r="A777" s="16" t="s">
        <v>780</v>
      </c>
      <c r="B777" s="2" t="s">
        <v>8</v>
      </c>
      <c r="C777" s="2"/>
      <c r="D777" s="2" t="s">
        <v>8</v>
      </c>
      <c r="E777" s="2" t="s">
        <v>8</v>
      </c>
      <c r="F777" s="2" t="s">
        <v>8</v>
      </c>
      <c r="G777" s="48" t="s">
        <v>8</v>
      </c>
      <c r="H777" s="48" t="e" cm="1">
        <f t="array" ref="H777">ROUND(G777*IF(OR(MID(A777,5,3)={"BFF","PRK","FPL","LMB","FFI","MET","RIC","FLR","SUG","OIL","DRK","JCE","FEG"}),1.21,IF(OR(MID(A777,5,3)={"FVG","FFR"}),1.33,IF(OR(MID(A777,5,3)={"FBT","FCH","FMK","FYG","MLK","ICE","FRV","FPO","FRF","FCC","BRD"}),1.28,IF(OR(MID(A777,5,3)={"BIS","CRP","HRB","TUR","IND","HYG"}),1.38,1.31)))),2)</f>
        <v>#VALUE!</v>
      </c>
      <c r="I777" s="19"/>
      <c r="J777" s="19"/>
    </row>
    <row r="778" spans="1:10" ht="15.6" x14ac:dyDescent="0.3">
      <c r="A778" s="18" t="s">
        <v>781</v>
      </c>
      <c r="B778" s="13" t="s">
        <v>1026</v>
      </c>
      <c r="C778" s="13" t="s">
        <v>1427</v>
      </c>
      <c r="D778" s="11" t="s">
        <v>8</v>
      </c>
      <c r="E778" s="11" t="s">
        <v>8</v>
      </c>
      <c r="F778" s="13" t="s">
        <v>8</v>
      </c>
      <c r="G778" s="47">
        <v>29.99</v>
      </c>
      <c r="H778" s="46" cm="1">
        <f t="array" ref="H778">ROUND(G778*IF(OR(MID(A778,5,3)={"BFF","PRK","FPL","LMB","FFI","MET","RIC","FLR","SUG","OIL","DRK","JCE","FEG"}),1.21,IF(OR(MID(A778,5,3)={"FVG","FFR"}),1.33,IF(OR(MID(A778,5,3)={"FBT","FCH","FMK","FYG","MLK","ICE","FRV","FPO","FRF","FCC","BRD"}),1.28,IF(OR(MID(A778,5,3)={"BIS","CRP","HRB","TUR","IND","HYG"}),1.38,1.31)))),2)</f>
        <v>38.39</v>
      </c>
      <c r="I778" s="29">
        <f>(Table1[[#This Row],[SALE PRICE]]-Table1[[#This Row],[COST PRICE]])/Table1[[#This Row],[SALE PRICE]]</f>
        <v>0.21880698098463147</v>
      </c>
      <c r="J778" s="26" t="str">
        <f>IF(Table1[[#This Row],[MARGIN]]&lt;25%, "REVIEW", "OK")</f>
        <v>REVIEW</v>
      </c>
    </row>
    <row r="779" spans="1:10" ht="15.6" x14ac:dyDescent="0.3">
      <c r="A779" s="17" t="s">
        <v>782</v>
      </c>
      <c r="B779" s="12" t="s">
        <v>783</v>
      </c>
      <c r="C779" s="12" t="s">
        <v>1427</v>
      </c>
      <c r="D779" s="10" t="s">
        <v>8</v>
      </c>
      <c r="E779" s="10" t="s">
        <v>8</v>
      </c>
      <c r="F779" s="12" t="s">
        <v>8</v>
      </c>
      <c r="G779" s="46">
        <v>6.45</v>
      </c>
      <c r="H779" s="47" cm="1">
        <f t="array" ref="H779">ROUND(G779*IF(OR(MID(A779,5,3)={"BFF","PRK","FPL","LMB","FFI","MET","RIC","FLR","SUG","OIL","DRK","JCE","FEG"}),1.21,IF(OR(MID(A779,5,3)={"FVG","FFR"}),1.33,IF(OR(MID(A779,5,3)={"FBT","FCH","FMK","FYG","MLK","ICE","FRV","FPO","FRF","FCC","BRD"}),1.28,IF(OR(MID(A779,5,3)={"BIS","CRP","HRB","TUR","IND","HYG"}),1.38,1.31)))),2)</f>
        <v>8.26</v>
      </c>
      <c r="I779" s="27">
        <f>(Table1[[#This Row],[SALE PRICE]]-Table1[[#This Row],[COST PRICE]])/Table1[[#This Row],[SALE PRICE]]</f>
        <v>0.21912832929782078</v>
      </c>
      <c r="J779" s="27" t="str">
        <f>IF(Table1[[#This Row],[MARGIN]]&lt;25%, "REVIEW", "OK")</f>
        <v>REVIEW</v>
      </c>
    </row>
    <row r="780" spans="1:10" ht="15.6" x14ac:dyDescent="0.3">
      <c r="A780" s="18" t="s">
        <v>784</v>
      </c>
      <c r="B780" s="13" t="s">
        <v>785</v>
      </c>
      <c r="C780" s="13" t="s">
        <v>1427</v>
      </c>
      <c r="D780" s="11" t="s">
        <v>8</v>
      </c>
      <c r="E780" s="11" t="s">
        <v>8</v>
      </c>
      <c r="F780" s="13" t="s">
        <v>8</v>
      </c>
      <c r="G780" s="47">
        <v>32.49</v>
      </c>
      <c r="H780" s="46" cm="1">
        <f t="array" ref="H780">ROUND(G780*IF(OR(MID(A780,5,3)={"BFF","PRK","FPL","LMB","FFI","MET","RIC","FLR","SUG","OIL","DRK","JCE","FEG"}),1.21,IF(OR(MID(A780,5,3)={"FVG","FFR"}),1.33,IF(OR(MID(A780,5,3)={"FBT","FCH","FMK","FYG","MLK","ICE","FRV","FPO","FRF","FCC","BRD"}),1.28,IF(OR(MID(A780,5,3)={"BIS","CRP","HRB","TUR","IND","HYG"}),1.38,1.31)))),2)</f>
        <v>41.59</v>
      </c>
      <c r="I780" s="29">
        <f>(Table1[[#This Row],[SALE PRICE]]-Table1[[#This Row],[COST PRICE]])/Table1[[#This Row],[SALE PRICE]]</f>
        <v>0.21880259677807168</v>
      </c>
      <c r="J780" s="26" t="str">
        <f>IF(Table1[[#This Row],[MARGIN]]&lt;25%, "REVIEW", "OK")</f>
        <v>REVIEW</v>
      </c>
    </row>
    <row r="781" spans="1:10" ht="15.6" x14ac:dyDescent="0.3">
      <c r="A781" s="17" t="s">
        <v>786</v>
      </c>
      <c r="B781" s="12" t="s">
        <v>787</v>
      </c>
      <c r="C781" s="12" t="s">
        <v>1428</v>
      </c>
      <c r="D781" s="10" t="s">
        <v>8</v>
      </c>
      <c r="E781" s="10" t="s">
        <v>8</v>
      </c>
      <c r="F781" s="12" t="s">
        <v>8</v>
      </c>
      <c r="G781" s="46">
        <v>7.69</v>
      </c>
      <c r="H781" s="47" cm="1">
        <f t="array" ref="H781">ROUND(G781*IF(OR(MID(A781,5,3)={"BFF","PRK","FPL","LMB","FFI","MET","RIC","FLR","SUG","OIL","DRK","JCE","FEG"}),1.21,IF(OR(MID(A781,5,3)={"FVG","FFR"}),1.33,IF(OR(MID(A781,5,3)={"FBT","FCH","FMK","FYG","MLK","ICE","FRV","FPO","FRF","FCC","BRD"}),1.28,IF(OR(MID(A781,5,3)={"BIS","CRP","HRB","TUR","IND","HYG"}),1.38,1.31)))),2)</f>
        <v>9.84</v>
      </c>
      <c r="I781" s="27">
        <f>(Table1[[#This Row],[SALE PRICE]]-Table1[[#This Row],[COST PRICE]])/Table1[[#This Row],[SALE PRICE]]</f>
        <v>0.21849593495934955</v>
      </c>
      <c r="J781" s="27" t="str">
        <f>IF(Table1[[#This Row],[MARGIN]]&lt;25%, "REVIEW", "OK")</f>
        <v>REVIEW</v>
      </c>
    </row>
    <row r="782" spans="1:10" s="1" customFormat="1" ht="15.6" x14ac:dyDescent="0.3">
      <c r="A782" s="16" t="s">
        <v>788</v>
      </c>
      <c r="B782" s="2" t="s">
        <v>8</v>
      </c>
      <c r="C782" s="2"/>
      <c r="D782" s="2" t="s">
        <v>8</v>
      </c>
      <c r="E782" s="2" t="s">
        <v>8</v>
      </c>
      <c r="F782" s="2" t="s">
        <v>8</v>
      </c>
      <c r="G782" s="48" t="s">
        <v>8</v>
      </c>
      <c r="H782" s="48" t="e" cm="1">
        <f t="array" ref="H782">ROUND(G782*IF(OR(MID(A782,5,3)={"BFF","PRK","FPL","LMB","FFI","MET","RIC","FLR","SUG","OIL","DRK","JCE","FEG"}),1.21,IF(OR(MID(A782,5,3)={"FVG","FFR"}),1.33,IF(OR(MID(A782,5,3)={"FBT","FCH","FMK","FYG","MLK","ICE","FRV","FPO","FRF","FCC","BRD"}),1.28,IF(OR(MID(A782,5,3)={"BIS","CRP","HRB","TUR","IND","HYG"}),1.38,1.31)))),2)</f>
        <v>#VALUE!</v>
      </c>
      <c r="I782" s="19"/>
      <c r="J782" s="19"/>
    </row>
    <row r="783" spans="1:10" ht="15.6" x14ac:dyDescent="0.3">
      <c r="A783" s="18" t="s">
        <v>789</v>
      </c>
      <c r="B783" s="13" t="s">
        <v>790</v>
      </c>
      <c r="C783" s="13" t="s">
        <v>1430</v>
      </c>
      <c r="D783" s="11" t="s">
        <v>8</v>
      </c>
      <c r="E783" s="11" t="s">
        <v>8</v>
      </c>
      <c r="F783" s="13" t="s">
        <v>8</v>
      </c>
      <c r="G783" s="47">
        <v>7.29</v>
      </c>
      <c r="H783" s="47" cm="1">
        <f t="array" ref="H783">ROUND(G783*IF(OR(MID(A783,5,3)={"BFF","PRK","FPL","LMB","FFI","MET","RIC","FLR","SUG","OIL","DRK","JCE","FEG"}),1.21,IF(OR(MID(A783,5,3)={"FVG","FFR"}),1.33,IF(OR(MID(A783,5,3)={"FBT","FCH","FMK","FYG","MLK","ICE","FRV","FPO","FRF","FCC","BRD"}),1.28,IF(OR(MID(A783,5,3)={"BIS","CRP","HRB","TUR","IND","HYG"}),1.38,1.31)))),2)</f>
        <v>9.33</v>
      </c>
      <c r="I783" s="27">
        <f>(Table1[[#This Row],[SALE PRICE]]-Table1[[#This Row],[COST PRICE]])/Table1[[#This Row],[SALE PRICE]]</f>
        <v>0.21864951768488747</v>
      </c>
      <c r="J783" s="27" t="str">
        <f>IF(Table1[[#This Row],[MARGIN]]&lt;25%, "REVIEW", "OK")</f>
        <v>REVIEW</v>
      </c>
    </row>
    <row r="784" spans="1:10" ht="15.6" x14ac:dyDescent="0.3">
      <c r="A784" s="17" t="s">
        <v>791</v>
      </c>
      <c r="B784" s="12" t="s">
        <v>792</v>
      </c>
      <c r="C784" s="12" t="s">
        <v>1430</v>
      </c>
      <c r="D784" s="10" t="s">
        <v>8</v>
      </c>
      <c r="E784" s="10" t="s">
        <v>8</v>
      </c>
      <c r="F784" s="12" t="s">
        <v>8</v>
      </c>
      <c r="G784" s="46">
        <v>7.99</v>
      </c>
      <c r="H784" s="46" cm="1">
        <f t="array" ref="H784">ROUND(G784*IF(OR(MID(A784,5,3)={"BFF","PRK","FPL","LMB","FFI","MET","RIC","FLR","SUG","OIL","DRK","JCE","FEG"}),1.21,IF(OR(MID(A784,5,3)={"FVG","FFR"}),1.33,IF(OR(MID(A784,5,3)={"FBT","FCH","FMK","FYG","MLK","ICE","FRV","FPO","FRF","FCC","BRD"}),1.28,IF(OR(MID(A784,5,3)={"BIS","CRP","HRB","TUR","IND","HYG"}),1.38,1.31)))),2)</f>
        <v>10.23</v>
      </c>
      <c r="I784" s="29">
        <f>(Table1[[#This Row],[SALE PRICE]]-Table1[[#This Row],[COST PRICE]])/Table1[[#This Row],[SALE PRICE]]</f>
        <v>0.21896383186705767</v>
      </c>
      <c r="J784" s="26" t="str">
        <f>IF(Table1[[#This Row],[MARGIN]]&lt;25%, "REVIEW", "OK")</f>
        <v>REVIEW</v>
      </c>
    </row>
    <row r="785" spans="1:10" ht="15.6" x14ac:dyDescent="0.3">
      <c r="A785" s="18" t="s">
        <v>793</v>
      </c>
      <c r="B785" s="13" t="s">
        <v>794</v>
      </c>
      <c r="C785" s="13" t="s">
        <v>1430</v>
      </c>
      <c r="D785" s="11" t="s">
        <v>8</v>
      </c>
      <c r="E785" s="11" t="s">
        <v>8</v>
      </c>
      <c r="F785" s="13" t="s">
        <v>8</v>
      </c>
      <c r="G785" s="47">
        <v>9.7899999999999991</v>
      </c>
      <c r="H785" s="47" cm="1">
        <f t="array" ref="H785">ROUND(G785*IF(OR(MID(A785,5,3)={"BFF","PRK","FPL","LMB","FFI","MET","RIC","FLR","SUG","OIL","DRK","JCE","FEG"}),1.21,IF(OR(MID(A785,5,3)={"FVG","FFR"}),1.33,IF(OR(MID(A785,5,3)={"FBT","FCH","FMK","FYG","MLK","ICE","FRV","FPO","FRF","FCC","BRD"}),1.28,IF(OR(MID(A785,5,3)={"BIS","CRP","HRB","TUR","IND","HYG"}),1.38,1.31)))),2)</f>
        <v>12.53</v>
      </c>
      <c r="I785" s="27">
        <f>(Table1[[#This Row],[SALE PRICE]]-Table1[[#This Row],[COST PRICE]])/Table1[[#This Row],[SALE PRICE]]</f>
        <v>0.21867517956903434</v>
      </c>
      <c r="J785" s="27" t="str">
        <f>IF(Table1[[#This Row],[MARGIN]]&lt;25%, "REVIEW", "OK")</f>
        <v>REVIEW</v>
      </c>
    </row>
    <row r="786" spans="1:10" ht="15.6" x14ac:dyDescent="0.3">
      <c r="A786" s="17" t="s">
        <v>795</v>
      </c>
      <c r="B786" s="12" t="s">
        <v>796</v>
      </c>
      <c r="C786" s="12" t="s">
        <v>1428</v>
      </c>
      <c r="D786" s="10" t="s">
        <v>8</v>
      </c>
      <c r="E786" s="10" t="s">
        <v>8</v>
      </c>
      <c r="F786" s="12" t="s">
        <v>8</v>
      </c>
      <c r="G786" s="46">
        <v>16.989999999999998</v>
      </c>
      <c r="H786" s="46" cm="1">
        <f t="array" ref="H786">ROUND(G786*IF(OR(MID(A786,5,3)={"BFF","PRK","FPL","LMB","FFI","MET","RIC","FLR","SUG","OIL","DRK","JCE","FEG"}),1.21,IF(OR(MID(A786,5,3)={"FVG","FFR"}),1.33,IF(OR(MID(A786,5,3)={"FBT","FCH","FMK","FYG","MLK","ICE","FRV","FPO","FRF","FCC","BRD"}),1.28,IF(OR(MID(A786,5,3)={"BIS","CRP","HRB","TUR","IND","HYG"}),1.38,1.31)))),2)</f>
        <v>21.75</v>
      </c>
      <c r="I786" s="29">
        <f>(Table1[[#This Row],[SALE PRICE]]-Table1[[#This Row],[COST PRICE]])/Table1[[#This Row],[SALE PRICE]]</f>
        <v>0.21885057471264374</v>
      </c>
      <c r="J786" s="26" t="str">
        <f>IF(Table1[[#This Row],[MARGIN]]&lt;25%, "REVIEW", "OK")</f>
        <v>REVIEW</v>
      </c>
    </row>
    <row r="787" spans="1:10" ht="15.6" x14ac:dyDescent="0.3">
      <c r="A787" s="18" t="s">
        <v>797</v>
      </c>
      <c r="B787" s="13" t="s">
        <v>798</v>
      </c>
      <c r="C787" s="13" t="s">
        <v>1430</v>
      </c>
      <c r="D787" s="11" t="s">
        <v>8</v>
      </c>
      <c r="E787" s="11" t="s">
        <v>8</v>
      </c>
      <c r="F787" s="13" t="s">
        <v>8</v>
      </c>
      <c r="G787" s="47">
        <v>12.99</v>
      </c>
      <c r="H787" s="47" cm="1">
        <f t="array" ref="H787">ROUND(G787*IF(OR(MID(A787,5,3)={"BFF","PRK","FPL","LMB","FFI","MET","RIC","FLR","SUG","OIL","DRK","JCE","FEG"}),1.21,IF(OR(MID(A787,5,3)={"FVG","FFR"}),1.33,IF(OR(MID(A787,5,3)={"FBT","FCH","FMK","FYG","MLK","ICE","FRV","FPO","FRF","FCC","BRD"}),1.28,IF(OR(MID(A787,5,3)={"BIS","CRP","HRB","TUR","IND","HYG"}),1.38,1.31)))),2)</f>
        <v>16.63</v>
      </c>
      <c r="I787" s="27">
        <f>(Table1[[#This Row],[SALE PRICE]]-Table1[[#This Row],[COST PRICE]])/Table1[[#This Row],[SALE PRICE]]</f>
        <v>0.21888153938665056</v>
      </c>
      <c r="J787" s="27" t="str">
        <f>IF(Table1[[#This Row],[MARGIN]]&lt;25%, "REVIEW", "OK")</f>
        <v>REVIEW</v>
      </c>
    </row>
    <row r="788" spans="1:10" ht="15.6" x14ac:dyDescent="0.3">
      <c r="A788" s="17" t="s">
        <v>799</v>
      </c>
      <c r="B788" s="12" t="s">
        <v>800</v>
      </c>
      <c r="C788" s="12" t="s">
        <v>1430</v>
      </c>
      <c r="D788" s="10" t="s">
        <v>8</v>
      </c>
      <c r="E788" s="10" t="s">
        <v>8</v>
      </c>
      <c r="F788" s="12" t="s">
        <v>8</v>
      </c>
      <c r="G788" s="46">
        <v>1.99</v>
      </c>
      <c r="H788" s="46" cm="1">
        <f t="array" ref="H788">ROUND(G788*IF(OR(MID(A788,5,3)={"BFF","PRK","FPL","LMB","FFI","MET","RIC","FLR","SUG","OIL","DRK","JCE","FEG"}),1.21,IF(OR(MID(A788,5,3)={"FVG","FFR"}),1.33,IF(OR(MID(A788,5,3)={"FBT","FCH","FMK","FYG","MLK","ICE","FRV","FPO","FRF","FCC","BRD"}),1.28,IF(OR(MID(A788,5,3)={"BIS","CRP","HRB","TUR","IND","HYG"}),1.38,1.31)))),2)</f>
        <v>2.5499999999999998</v>
      </c>
      <c r="I788" s="29">
        <f>(Table1[[#This Row],[SALE PRICE]]-Table1[[#This Row],[COST PRICE]])/Table1[[#This Row],[SALE PRICE]]</f>
        <v>0.21960784313725484</v>
      </c>
      <c r="J788" s="26" t="str">
        <f>IF(Table1[[#This Row],[MARGIN]]&lt;25%, "REVIEW", "OK")</f>
        <v>REVIEW</v>
      </c>
    </row>
    <row r="789" spans="1:10" ht="15.6" x14ac:dyDescent="0.3">
      <c r="A789" s="18" t="s">
        <v>801</v>
      </c>
      <c r="B789" s="13" t="s">
        <v>802</v>
      </c>
      <c r="C789" s="13" t="s">
        <v>1428</v>
      </c>
      <c r="D789" s="11" t="s">
        <v>8</v>
      </c>
      <c r="E789" s="11" t="s">
        <v>8</v>
      </c>
      <c r="F789" s="13" t="s">
        <v>8</v>
      </c>
      <c r="G789" s="47">
        <v>10.99</v>
      </c>
      <c r="H789" s="47" cm="1">
        <f t="array" ref="H789">ROUND(G789*IF(OR(MID(A789,5,3)={"BFF","PRK","FPL","LMB","FFI","MET","RIC","FLR","SUG","OIL","DRK","JCE","FEG"}),1.21,IF(OR(MID(A789,5,3)={"FVG","FFR"}),1.33,IF(OR(MID(A789,5,3)={"FBT","FCH","FMK","FYG","MLK","ICE","FRV","FPO","FRF","FCC","BRD"}),1.28,IF(OR(MID(A789,5,3)={"BIS","CRP","HRB","TUR","IND","HYG"}),1.38,1.31)))),2)</f>
        <v>14.07</v>
      </c>
      <c r="I789" s="27">
        <f>(Table1[[#This Row],[SALE PRICE]]-Table1[[#This Row],[COST PRICE]])/Table1[[#This Row],[SALE PRICE]]</f>
        <v>0.21890547263681592</v>
      </c>
      <c r="J789" s="27" t="str">
        <f>IF(Table1[[#This Row],[MARGIN]]&lt;25%, "REVIEW", "OK")</f>
        <v>REVIEW</v>
      </c>
    </row>
    <row r="790" spans="1:10" ht="15.6" x14ac:dyDescent="0.3">
      <c r="A790" s="17" t="s">
        <v>803</v>
      </c>
      <c r="B790" s="12" t="s">
        <v>804</v>
      </c>
      <c r="C790" s="12" t="s">
        <v>1428</v>
      </c>
      <c r="D790" s="10" t="s">
        <v>8</v>
      </c>
      <c r="E790" s="10" t="s">
        <v>8</v>
      </c>
      <c r="F790" s="12" t="s">
        <v>8</v>
      </c>
      <c r="G790" s="46">
        <v>9.99</v>
      </c>
      <c r="H790" s="46" cm="1">
        <f t="array" ref="H790">ROUND(G790*IF(OR(MID(A790,5,3)={"BFF","PRK","FPL","LMB","FFI","MET","RIC","FLR","SUG","OIL","DRK","JCE","FEG"}),1.21,IF(OR(MID(A790,5,3)={"FVG","FFR"}),1.33,IF(OR(MID(A790,5,3)={"FBT","FCH","FMK","FYG","MLK","ICE","FRV","FPO","FRF","FCC","BRD"}),1.28,IF(OR(MID(A790,5,3)={"BIS","CRP","HRB","TUR","IND","HYG"}),1.38,1.31)))),2)</f>
        <v>12.79</v>
      </c>
      <c r="I790" s="29">
        <f>(Table1[[#This Row],[SALE PRICE]]-Table1[[#This Row],[COST PRICE]])/Table1[[#This Row],[SALE PRICE]]</f>
        <v>0.2189210320562939</v>
      </c>
      <c r="J790" s="26" t="str">
        <f>IF(Table1[[#This Row],[MARGIN]]&lt;25%, "REVIEW", "OK")</f>
        <v>REVIEW</v>
      </c>
    </row>
    <row r="791" spans="1:10" ht="15.6" x14ac:dyDescent="0.3">
      <c r="A791" s="18" t="s">
        <v>805</v>
      </c>
      <c r="B791" s="13" t="s">
        <v>806</v>
      </c>
      <c r="C791" s="13" t="s">
        <v>1429</v>
      </c>
      <c r="D791" s="11" t="s">
        <v>8</v>
      </c>
      <c r="E791" s="11" t="s">
        <v>8</v>
      </c>
      <c r="F791" s="13" t="s">
        <v>8</v>
      </c>
      <c r="G791" s="47">
        <v>10.99</v>
      </c>
      <c r="H791" s="47" cm="1">
        <f t="array" ref="H791">ROUND(G791*IF(OR(MID(A791,5,3)={"BFF","PRK","FPL","LMB","FFI","MET","RIC","FLR","SUG","OIL","DRK","JCE","FEG"}),1.21,IF(OR(MID(A791,5,3)={"FVG","FFR"}),1.33,IF(OR(MID(A791,5,3)={"FBT","FCH","FMK","FYG","MLK","ICE","FRV","FPO","FRF","FCC","BRD"}),1.28,IF(OR(MID(A791,5,3)={"BIS","CRP","HRB","TUR","IND","HYG"}),1.38,1.31)))),2)</f>
        <v>14.07</v>
      </c>
      <c r="I791" s="27">
        <f>(Table1[[#This Row],[SALE PRICE]]-Table1[[#This Row],[COST PRICE]])/Table1[[#This Row],[SALE PRICE]]</f>
        <v>0.21890547263681592</v>
      </c>
      <c r="J791" s="27" t="str">
        <f>IF(Table1[[#This Row],[MARGIN]]&lt;25%, "REVIEW", "OK")</f>
        <v>REVIEW</v>
      </c>
    </row>
    <row r="792" spans="1:10" ht="15.6" x14ac:dyDescent="0.3">
      <c r="A792" s="17" t="s">
        <v>807</v>
      </c>
      <c r="B792" s="12" t="s">
        <v>808</v>
      </c>
      <c r="C792" s="12" t="s">
        <v>1427</v>
      </c>
      <c r="D792" s="10" t="s">
        <v>8</v>
      </c>
      <c r="E792" s="10" t="s">
        <v>8</v>
      </c>
      <c r="F792" s="12" t="s">
        <v>8</v>
      </c>
      <c r="G792" s="46">
        <v>4.75</v>
      </c>
      <c r="H792" s="46" cm="1">
        <f t="array" ref="H792">ROUND(G792*IF(OR(MID(A792,5,3)={"BFF","PRK","FPL","LMB","FFI","MET","RIC","FLR","SUG","OIL","DRK","JCE","FEG"}),1.21,IF(OR(MID(A792,5,3)={"FVG","FFR"}),1.33,IF(OR(MID(A792,5,3)={"FBT","FCH","FMK","FYG","MLK","ICE","FRV","FPO","FRF","FCC","BRD"}),1.28,IF(OR(MID(A792,5,3)={"BIS","CRP","HRB","TUR","IND","HYG"}),1.38,1.31)))),2)</f>
        <v>6.08</v>
      </c>
      <c r="I792" s="29">
        <f>(Table1[[#This Row],[SALE PRICE]]-Table1[[#This Row],[COST PRICE]])/Table1[[#This Row],[SALE PRICE]]</f>
        <v>0.21875</v>
      </c>
      <c r="J792" s="26" t="str">
        <f>IF(Table1[[#This Row],[MARGIN]]&lt;25%, "REVIEW", "OK")</f>
        <v>REVIEW</v>
      </c>
    </row>
    <row r="793" spans="1:10" ht="15.6" x14ac:dyDescent="0.3">
      <c r="A793" s="18" t="s">
        <v>809</v>
      </c>
      <c r="B793" s="13" t="s">
        <v>810</v>
      </c>
      <c r="C793" s="13" t="s">
        <v>1440</v>
      </c>
      <c r="D793" s="11" t="s">
        <v>8</v>
      </c>
      <c r="E793" s="11" t="s">
        <v>8</v>
      </c>
      <c r="F793" s="13" t="s">
        <v>8</v>
      </c>
      <c r="G793" s="47">
        <v>2.25</v>
      </c>
      <c r="H793" s="47" cm="1">
        <f t="array" ref="H793">ROUND(G793*IF(OR(MID(A793,5,3)={"BFF","PRK","FPL","LMB","FFI","MET","RIC","FLR","SUG","OIL","DRK","JCE","FEG"}),1.21,IF(OR(MID(A793,5,3)={"FVG","FFR"}),1.33,IF(OR(MID(A793,5,3)={"FBT","FCH","FMK","FYG","MLK","ICE","FRV","FPO","FRF","FCC","BRD"}),1.28,IF(OR(MID(A793,5,3)={"BIS","CRP","HRB","TUR","IND","HYG"}),1.38,1.31)))),2)</f>
        <v>2.88</v>
      </c>
      <c r="I793" s="27">
        <f>(Table1[[#This Row],[SALE PRICE]]-Table1[[#This Row],[COST PRICE]])/Table1[[#This Row],[SALE PRICE]]</f>
        <v>0.21874999999999997</v>
      </c>
      <c r="J793" s="27" t="str">
        <f>IF(Table1[[#This Row],[MARGIN]]&lt;25%, "REVIEW", "OK")</f>
        <v>REVIEW</v>
      </c>
    </row>
    <row r="794" spans="1:10" ht="15.6" x14ac:dyDescent="0.3">
      <c r="A794" s="17" t="s">
        <v>811</v>
      </c>
      <c r="B794" s="12" t="s">
        <v>812</v>
      </c>
      <c r="C794" s="12" t="s">
        <v>1440</v>
      </c>
      <c r="D794" s="10" t="s">
        <v>8</v>
      </c>
      <c r="E794" s="10" t="s">
        <v>8</v>
      </c>
      <c r="F794" s="12" t="s">
        <v>8</v>
      </c>
      <c r="G794" s="46">
        <v>1.73</v>
      </c>
      <c r="H794" s="46" cm="1">
        <f t="array" ref="H794">ROUND(G794*IF(OR(MID(A794,5,3)={"BFF","PRK","FPL","LMB","FFI","MET","RIC","FLR","SUG","OIL","DRK","JCE","FEG"}),1.21,IF(OR(MID(A794,5,3)={"FVG","FFR"}),1.33,IF(OR(MID(A794,5,3)={"FBT","FCH","FMK","FYG","MLK","ICE","FRV","FPO","FRF","FCC","BRD"}),1.28,IF(OR(MID(A794,5,3)={"BIS","CRP","HRB","TUR","IND","HYG"}),1.38,1.31)))),2)</f>
        <v>2.21</v>
      </c>
      <c r="I794" s="29">
        <f>(Table1[[#This Row],[SALE PRICE]]-Table1[[#This Row],[COST PRICE]])/Table1[[#This Row],[SALE PRICE]]</f>
        <v>0.21719457013574661</v>
      </c>
      <c r="J794" s="26" t="str">
        <f>IF(Table1[[#This Row],[MARGIN]]&lt;25%, "REVIEW", "OK")</f>
        <v>REVIEW</v>
      </c>
    </row>
    <row r="795" spans="1:10" ht="15.6" x14ac:dyDescent="0.3">
      <c r="A795" s="18" t="s">
        <v>813</v>
      </c>
      <c r="B795" s="13" t="s">
        <v>814</v>
      </c>
      <c r="C795" s="13" t="s">
        <v>1440</v>
      </c>
      <c r="D795" s="11" t="s">
        <v>8</v>
      </c>
      <c r="E795" s="11" t="s">
        <v>8</v>
      </c>
      <c r="F795" s="13" t="s">
        <v>8</v>
      </c>
      <c r="G795" s="47">
        <v>5.5</v>
      </c>
      <c r="H795" s="47" cm="1">
        <f t="array" ref="H795">ROUND(G795*IF(OR(MID(A795,5,3)={"BFF","PRK","FPL","LMB","FFI","MET","RIC","FLR","SUG","OIL","DRK","JCE","FEG"}),1.21,IF(OR(MID(A795,5,3)={"FVG","FFR"}),1.33,IF(OR(MID(A795,5,3)={"FBT","FCH","FMK","FYG","MLK","ICE","FRV","FPO","FRF","FCC","BRD"}),1.28,IF(OR(MID(A795,5,3)={"BIS","CRP","HRB","TUR","IND","HYG"}),1.38,1.31)))),2)</f>
        <v>7.04</v>
      </c>
      <c r="I795" s="27">
        <f>(Table1[[#This Row],[SALE PRICE]]-Table1[[#This Row],[COST PRICE]])/Table1[[#This Row],[SALE PRICE]]</f>
        <v>0.21875</v>
      </c>
      <c r="J795" s="27" t="str">
        <f>IF(Table1[[#This Row],[MARGIN]]&lt;25%, "REVIEW", "OK")</f>
        <v>REVIEW</v>
      </c>
    </row>
    <row r="796" spans="1:10" ht="15.6" x14ac:dyDescent="0.3">
      <c r="A796" s="17" t="s">
        <v>815</v>
      </c>
      <c r="B796" s="12" t="s">
        <v>816</v>
      </c>
      <c r="C796" s="12" t="s">
        <v>1440</v>
      </c>
      <c r="D796" s="10" t="s">
        <v>8</v>
      </c>
      <c r="E796" s="10" t="s">
        <v>8</v>
      </c>
      <c r="F796" s="12" t="s">
        <v>8</v>
      </c>
      <c r="G796" s="46">
        <v>5.2</v>
      </c>
      <c r="H796" s="46" cm="1">
        <f t="array" ref="H796">ROUND(G796*IF(OR(MID(A796,5,3)={"BFF","PRK","FPL","LMB","FFI","MET","RIC","FLR","SUG","OIL","DRK","JCE","FEG"}),1.21,IF(OR(MID(A796,5,3)={"FVG","FFR"}),1.33,IF(OR(MID(A796,5,3)={"FBT","FCH","FMK","FYG","MLK","ICE","FRV","FPO","FRF","FCC","BRD"}),1.28,IF(OR(MID(A796,5,3)={"BIS","CRP","HRB","TUR","IND","HYG"}),1.38,1.31)))),2)</f>
        <v>6.66</v>
      </c>
      <c r="I796" s="29">
        <f>(Table1[[#This Row],[SALE PRICE]]-Table1[[#This Row],[COST PRICE]])/Table1[[#This Row],[SALE PRICE]]</f>
        <v>0.21921921921921922</v>
      </c>
      <c r="J796" s="26" t="str">
        <f>IF(Table1[[#This Row],[MARGIN]]&lt;25%, "REVIEW", "OK")</f>
        <v>REVIEW</v>
      </c>
    </row>
    <row r="797" spans="1:10" s="1" customFormat="1" ht="15.6" x14ac:dyDescent="0.3">
      <c r="A797" s="16" t="s">
        <v>817</v>
      </c>
      <c r="B797" s="2" t="s">
        <v>8</v>
      </c>
      <c r="C797" s="2"/>
      <c r="D797" s="2" t="s">
        <v>8</v>
      </c>
      <c r="E797" s="2" t="s">
        <v>8</v>
      </c>
      <c r="F797" s="2" t="s">
        <v>8</v>
      </c>
      <c r="G797" s="48" t="s">
        <v>8</v>
      </c>
      <c r="H797" s="48" t="e" cm="1">
        <f t="array" ref="H797">ROUND(G797*IF(OR(MID(A797,5,3)={"BFF","PRK","FPL","LMB","FFI","MET","RIC","FLR","SUG","OIL","DRK","JCE","FEG"}),1.21,IF(OR(MID(A797,5,3)={"FVG","FFR"}),1.33,IF(OR(MID(A797,5,3)={"FBT","FCH","FMK","FYG","MLK","ICE","FRV","FPO","FRF","FCC","BRD"}),1.28,IF(OR(MID(A797,5,3)={"BIS","CRP","HRB","TUR","IND","HYG"}),1.38,1.31)))),2)</f>
        <v>#VALUE!</v>
      </c>
      <c r="I797" s="19"/>
      <c r="J797" s="19"/>
    </row>
    <row r="798" spans="1:10" ht="15.6" x14ac:dyDescent="0.3">
      <c r="A798" s="18" t="s">
        <v>818</v>
      </c>
      <c r="B798" s="13" t="s">
        <v>1085</v>
      </c>
      <c r="C798" s="13" t="s">
        <v>1427</v>
      </c>
      <c r="D798" s="11" t="s">
        <v>8</v>
      </c>
      <c r="E798" s="11" t="s">
        <v>8</v>
      </c>
      <c r="F798" s="13" t="s">
        <v>8</v>
      </c>
      <c r="G798" s="47">
        <v>11.99</v>
      </c>
      <c r="H798" s="46" cm="1">
        <f t="array" ref="H798">ROUND(G798*IF(OR(MID(A798,5,3)={"BFF","PRK","FPL","LMB","FFI","MET","RIC","FLR","SUG","OIL","DRK","JCE","FEG"}),1.21,IF(OR(MID(A798,5,3)={"FVG","FFR"}),1.33,IF(OR(MID(A798,5,3)={"FBT","FCH","FMK","FYG","MLK","ICE","FRV","FPO","FRF","FCC","BRD"}),1.28,IF(OR(MID(A798,5,3)={"BIS","CRP","HRB","TUR","IND","HYG"}),1.38,1.31)))),2)</f>
        <v>14.51</v>
      </c>
      <c r="I798" s="29">
        <f>(Table1[[#This Row],[SALE PRICE]]-Table1[[#This Row],[COST PRICE]])/Table1[[#This Row],[SALE PRICE]]</f>
        <v>0.17367332873880081</v>
      </c>
      <c r="J798" s="26" t="str">
        <f>IF(Table1[[#This Row],[MARGIN]]&lt;25%, "REVIEW", "OK")</f>
        <v>REVIEW</v>
      </c>
    </row>
    <row r="799" spans="1:10" ht="15.6" x14ac:dyDescent="0.3">
      <c r="A799" s="17" t="s">
        <v>819</v>
      </c>
      <c r="B799" s="12" t="s">
        <v>1086</v>
      </c>
      <c r="C799" s="12" t="s">
        <v>1427</v>
      </c>
      <c r="D799" s="10" t="s">
        <v>8</v>
      </c>
      <c r="E799" s="10" t="s">
        <v>8</v>
      </c>
      <c r="F799" s="12" t="s">
        <v>8</v>
      </c>
      <c r="G799" s="46">
        <v>31.99</v>
      </c>
      <c r="H799" s="47" cm="1">
        <f t="array" ref="H799">ROUND(G799*IF(OR(MID(A799,5,3)={"BFF","PRK","FPL","LMB","FFI","MET","RIC","FLR","SUG","OIL","DRK","JCE","FEG"}),1.21,IF(OR(MID(A799,5,3)={"FVG","FFR"}),1.33,IF(OR(MID(A799,5,3)={"FBT","FCH","FMK","FYG","MLK","ICE","FRV","FPO","FRF","FCC","BRD"}),1.28,IF(OR(MID(A799,5,3)={"BIS","CRP","HRB","TUR","IND","HYG"}),1.38,1.31)))),2)</f>
        <v>38.71</v>
      </c>
      <c r="I799" s="27">
        <f>(Table1[[#This Row],[SALE PRICE]]-Table1[[#This Row],[COST PRICE]])/Table1[[#This Row],[SALE PRICE]]</f>
        <v>0.17359855334538885</v>
      </c>
      <c r="J799" s="27" t="str">
        <f>IF(Table1[[#This Row],[MARGIN]]&lt;25%, "REVIEW", "OK")</f>
        <v>REVIEW</v>
      </c>
    </row>
    <row r="800" spans="1:10" s="1" customFormat="1" ht="31.2" x14ac:dyDescent="0.3">
      <c r="A800" s="16" t="s">
        <v>820</v>
      </c>
      <c r="B800" s="2" t="s">
        <v>8</v>
      </c>
      <c r="C800" s="2"/>
      <c r="D800" s="2" t="s">
        <v>8</v>
      </c>
      <c r="E800" s="2" t="s">
        <v>8</v>
      </c>
      <c r="F800" s="2" t="s">
        <v>8</v>
      </c>
      <c r="G800" s="48" t="s">
        <v>8</v>
      </c>
      <c r="H800" s="48" t="e" cm="1">
        <f t="array" ref="H800">ROUND(G800*IF(OR(MID(A800,5,3)={"BFF","PRK","FPL","LMB","FFI","MET","RIC","FLR","SUG","OIL","DRK","JCE","FEG"}),1.21,IF(OR(MID(A800,5,3)={"FVG","FFR"}),1.33,IF(OR(MID(A800,5,3)={"FBT","FCH","FMK","FYG","MLK","ICE","FRV","FPO","FRF","FCC","BRD"}),1.28,IF(OR(MID(A800,5,3)={"BIS","CRP","HRB","TUR","IND","HYG"}),1.38,1.31)))),2)</f>
        <v>#VALUE!</v>
      </c>
      <c r="I800" s="19"/>
      <c r="J800" s="19"/>
    </row>
    <row r="801" spans="1:10" ht="15.6" x14ac:dyDescent="0.3">
      <c r="A801" s="18" t="s">
        <v>821</v>
      </c>
      <c r="B801" s="13" t="s">
        <v>822</v>
      </c>
      <c r="C801" s="13"/>
      <c r="D801" s="11" t="s">
        <v>8</v>
      </c>
      <c r="E801" s="11" t="s">
        <v>8</v>
      </c>
      <c r="F801" s="13" t="s">
        <v>8</v>
      </c>
      <c r="G801" s="47" t="s">
        <v>8</v>
      </c>
      <c r="H801" s="47" t="e" cm="1">
        <f t="array" ref="H801">ROUND(G801*IF(OR(MID(A801,5,3)={"BFF","PRK","FPL","LMB","FFI","MET","RIC","FLR","SUG","OIL","DRK","JCE","FEG"}),1.21,IF(OR(MID(A801,5,3)={"FVG","FFR"}),1.33,IF(OR(MID(A801,5,3)={"FBT","FCH","FMK","FYG","MLK","ICE","FRV","FPO","FRF","FCC","BRD"}),1.28,IF(OR(MID(A801,5,3)={"BIS","CRP","HRB","TUR","IND","HYG"}),1.38,1.31)))),2)</f>
        <v>#VALUE!</v>
      </c>
      <c r="I801" s="27" t="e">
        <f>(Table1[[#This Row],[SALE PRICE]]-Table1[[#This Row],[COST PRICE]])/Table1[[#This Row],[SALE PRICE]]</f>
        <v>#VALUE!</v>
      </c>
      <c r="J801" s="27" t="e">
        <f>IF(Table1[[#This Row],[MARGIN]]&lt;25%, "REVIEW", "OK")</f>
        <v>#VALUE!</v>
      </c>
    </row>
    <row r="802" spans="1:10" ht="15.6" x14ac:dyDescent="0.3">
      <c r="A802" s="17" t="s">
        <v>823</v>
      </c>
      <c r="B802" s="12" t="s">
        <v>824</v>
      </c>
      <c r="C802" s="12" t="s">
        <v>1430</v>
      </c>
      <c r="D802" s="10" t="s">
        <v>8</v>
      </c>
      <c r="E802" s="10" t="s">
        <v>8</v>
      </c>
      <c r="F802" s="12" t="s">
        <v>8</v>
      </c>
      <c r="G802" s="46">
        <v>3.59</v>
      </c>
      <c r="H802" s="46" cm="1">
        <f t="array" ref="H802">ROUND(G802*IF(OR(MID(A802,5,3)={"BFF","PRK","FPL","LMB","FFI","MET","RIC","FLR","SUG","OIL","DRK","JCE","FEG"}),1.21,IF(OR(MID(A802,5,3)={"FVG","FFR"}),1.33,IF(OR(MID(A802,5,3)={"FBT","FCH","FMK","FYG","MLK","ICE","FRV","FPO","FRF","FCC","BRD"}),1.28,IF(OR(MID(A802,5,3)={"BIS","CRP","HRB","TUR","IND","HYG"}),1.38,1.31)))),2)</f>
        <v>4.5999999999999996</v>
      </c>
      <c r="I802" s="29">
        <f>(Table1[[#This Row],[SALE PRICE]]-Table1[[#This Row],[COST PRICE]])/Table1[[#This Row],[SALE PRICE]]</f>
        <v>0.21956521739130433</v>
      </c>
      <c r="J802" s="26" t="str">
        <f>IF(Table1[[#This Row],[MARGIN]]&lt;25%, "REVIEW", "OK")</f>
        <v>REVIEW</v>
      </c>
    </row>
    <row r="803" spans="1:10" ht="15.6" x14ac:dyDescent="0.3">
      <c r="A803" s="18" t="s">
        <v>825</v>
      </c>
      <c r="B803" s="13" t="s">
        <v>826</v>
      </c>
      <c r="C803" s="13" t="s">
        <v>1430</v>
      </c>
      <c r="D803" s="11" t="s">
        <v>8</v>
      </c>
      <c r="E803" s="11" t="s">
        <v>8</v>
      </c>
      <c r="F803" s="13" t="s">
        <v>8</v>
      </c>
      <c r="G803" s="47">
        <v>2.88</v>
      </c>
      <c r="H803" s="47" cm="1">
        <f t="array" ref="H803">ROUND(G803*IF(OR(MID(A803,5,3)={"BFF","PRK","FPL","LMB","FFI","MET","RIC","FLR","SUG","OIL","DRK","JCE","FEG"}),1.21,IF(OR(MID(A803,5,3)={"FVG","FFR"}),1.33,IF(OR(MID(A803,5,3)={"FBT","FCH","FMK","FYG","MLK","ICE","FRV","FPO","FRF","FCC","BRD"}),1.28,IF(OR(MID(A803,5,3)={"BIS","CRP","HRB","TUR","IND","HYG"}),1.38,1.31)))),2)</f>
        <v>3.69</v>
      </c>
      <c r="I803" s="27">
        <f>(Table1[[#This Row],[SALE PRICE]]-Table1[[#This Row],[COST PRICE]])/Table1[[#This Row],[SALE PRICE]]</f>
        <v>0.21951219512195125</v>
      </c>
      <c r="J803" s="27" t="str">
        <f>IF(Table1[[#This Row],[MARGIN]]&lt;25%, "REVIEW", "OK")</f>
        <v>REVIEW</v>
      </c>
    </row>
    <row r="804" spans="1:10" ht="15.6" x14ac:dyDescent="0.3">
      <c r="A804" s="17" t="s">
        <v>827</v>
      </c>
      <c r="B804" s="12" t="s">
        <v>828</v>
      </c>
      <c r="C804" s="12" t="s">
        <v>1430</v>
      </c>
      <c r="D804" s="10" t="s">
        <v>8</v>
      </c>
      <c r="E804" s="10" t="s">
        <v>8</v>
      </c>
      <c r="F804" s="12" t="s">
        <v>8</v>
      </c>
      <c r="G804" s="46">
        <v>3.99</v>
      </c>
      <c r="H804" s="46" cm="1">
        <f t="array" ref="H804">ROUND(G804*IF(OR(MID(A804,5,3)={"BFF","PRK","FPL","LMB","FFI","MET","RIC","FLR","SUG","OIL","DRK","JCE","FEG"}),1.21,IF(OR(MID(A804,5,3)={"FVG","FFR"}),1.33,IF(OR(MID(A804,5,3)={"FBT","FCH","FMK","FYG","MLK","ICE","FRV","FPO","FRF","FCC","BRD"}),1.28,IF(OR(MID(A804,5,3)={"BIS","CRP","HRB","TUR","IND","HYG"}),1.38,1.31)))),2)</f>
        <v>5.1100000000000003</v>
      </c>
      <c r="I804" s="29">
        <f>(Table1[[#This Row],[SALE PRICE]]-Table1[[#This Row],[COST PRICE]])/Table1[[#This Row],[SALE PRICE]]</f>
        <v>0.21917808219178084</v>
      </c>
      <c r="J804" s="26" t="str">
        <f>IF(Table1[[#This Row],[MARGIN]]&lt;25%, "REVIEW", "OK")</f>
        <v>REVIEW</v>
      </c>
    </row>
    <row r="805" spans="1:10" ht="15.6" x14ac:dyDescent="0.3">
      <c r="A805" s="18" t="s">
        <v>829</v>
      </c>
      <c r="B805" s="13" t="s">
        <v>830</v>
      </c>
      <c r="C805" s="13" t="s">
        <v>1430</v>
      </c>
      <c r="D805" s="11" t="s">
        <v>8</v>
      </c>
      <c r="E805" s="11" t="s">
        <v>8</v>
      </c>
      <c r="F805" s="13" t="s">
        <v>8</v>
      </c>
      <c r="G805" s="47">
        <v>1.26</v>
      </c>
      <c r="H805" s="47" cm="1">
        <f t="array" ref="H805">ROUND(G805*IF(OR(MID(A805,5,3)={"BFF","PRK","FPL","LMB","FFI","MET","RIC","FLR","SUG","OIL","DRK","JCE","FEG"}),1.21,IF(OR(MID(A805,5,3)={"FVG","FFR"}),1.33,IF(OR(MID(A805,5,3)={"FBT","FCH","FMK","FYG","MLK","ICE","FRV","FPO","FRF","FCC","BRD"}),1.28,IF(OR(MID(A805,5,3)={"BIS","CRP","HRB","TUR","IND","HYG"}),1.38,1.31)))),2)</f>
        <v>1.61</v>
      </c>
      <c r="I805" s="27">
        <f>(Table1[[#This Row],[SALE PRICE]]-Table1[[#This Row],[COST PRICE]])/Table1[[#This Row],[SALE PRICE]]</f>
        <v>0.21739130434782614</v>
      </c>
      <c r="J805" s="27" t="str">
        <f>IF(Table1[[#This Row],[MARGIN]]&lt;25%, "REVIEW", "OK")</f>
        <v>REVIEW</v>
      </c>
    </row>
    <row r="806" spans="1:10" ht="15.6" x14ac:dyDescent="0.3">
      <c r="A806" s="18" t="s">
        <v>831</v>
      </c>
      <c r="B806" s="13" t="s">
        <v>832</v>
      </c>
      <c r="C806" s="13" t="s">
        <v>1430</v>
      </c>
      <c r="D806" s="11" t="s">
        <v>8</v>
      </c>
      <c r="E806" s="11" t="s">
        <v>8</v>
      </c>
      <c r="F806" s="13" t="s">
        <v>8</v>
      </c>
      <c r="G806" s="47">
        <v>13.49</v>
      </c>
      <c r="H806" s="47" cm="1">
        <f t="array" ref="H806">ROUND(G806*IF(OR(MID(A806,5,3)={"BFF","PRK","FPL","LMB","FFI","MET","RIC","FLR","SUG","OIL","DRK","JCE","FEG"}),1.21,IF(OR(MID(A806,5,3)={"FVG","FFR"}),1.33,IF(OR(MID(A806,5,3)={"FBT","FCH","FMK","FYG","MLK","ICE","FRV","FPO","FRF","FCC","BRD"}),1.28,IF(OR(MID(A806,5,3)={"BIS","CRP","HRB","TUR","IND","HYG"}),1.38,1.31)))),2)</f>
        <v>17.27</v>
      </c>
      <c r="I806" s="27">
        <f>(Table1[[#This Row],[SALE PRICE]]-Table1[[#This Row],[COST PRICE]])/Table1[[#This Row],[SALE PRICE]]</f>
        <v>0.21887666473653733</v>
      </c>
      <c r="J806" s="27" t="str">
        <f>IF(Table1[[#This Row],[MARGIN]]&lt;25%, "REVIEW", "OK")</f>
        <v>REVIEW</v>
      </c>
    </row>
    <row r="807" spans="1:10" ht="15.6" x14ac:dyDescent="0.3">
      <c r="A807" s="17" t="s">
        <v>833</v>
      </c>
      <c r="B807" s="12" t="s">
        <v>834</v>
      </c>
      <c r="C807" s="12" t="s">
        <v>1430</v>
      </c>
      <c r="D807" s="10" t="s">
        <v>8</v>
      </c>
      <c r="E807" s="10" t="s">
        <v>8</v>
      </c>
      <c r="F807" s="12" t="s">
        <v>8</v>
      </c>
      <c r="G807" s="46">
        <v>9.99</v>
      </c>
      <c r="H807" s="46" cm="1">
        <f t="array" ref="H807">ROUND(G807*IF(OR(MID(A807,5,3)={"BFF","PRK","FPL","LMB","FFI","MET","RIC","FLR","SUG","OIL","DRK","JCE","FEG"}),1.21,IF(OR(MID(A807,5,3)={"FVG","FFR"}),1.33,IF(OR(MID(A807,5,3)={"FBT","FCH","FMK","FYG","MLK","ICE","FRV","FPO","FRF","FCC","BRD"}),1.28,IF(OR(MID(A807,5,3)={"BIS","CRP","HRB","TUR","IND","HYG"}),1.38,1.31)))),2)</f>
        <v>12.79</v>
      </c>
      <c r="I807" s="29">
        <f>(Table1[[#This Row],[SALE PRICE]]-Table1[[#This Row],[COST PRICE]])/Table1[[#This Row],[SALE PRICE]]</f>
        <v>0.2189210320562939</v>
      </c>
      <c r="J807" s="26" t="str">
        <f>IF(Table1[[#This Row],[MARGIN]]&lt;25%, "REVIEW", "OK")</f>
        <v>REVIEW</v>
      </c>
    </row>
    <row r="808" spans="1:10" ht="15.6" x14ac:dyDescent="0.3">
      <c r="A808" s="18" t="s">
        <v>835</v>
      </c>
      <c r="B808" s="13" t="s">
        <v>836</v>
      </c>
      <c r="C808" s="13" t="s">
        <v>1430</v>
      </c>
      <c r="D808" s="11" t="s">
        <v>8</v>
      </c>
      <c r="E808" s="11" t="s">
        <v>8</v>
      </c>
      <c r="F808" s="13" t="s">
        <v>8</v>
      </c>
      <c r="G808" s="47">
        <v>17.989999999999998</v>
      </c>
      <c r="H808" s="47" cm="1">
        <f t="array" ref="H808">ROUND(G808*IF(OR(MID(A808,5,3)={"BFF","PRK","FPL","LMB","FFI","MET","RIC","FLR","SUG","OIL","DRK","JCE","FEG"}),1.21,IF(OR(MID(A808,5,3)={"FVG","FFR"}),1.33,IF(OR(MID(A808,5,3)={"FBT","FCH","FMK","FYG","MLK","ICE","FRV","FPO","FRF","FCC","BRD"}),1.28,IF(OR(MID(A808,5,3)={"BIS","CRP","HRB","TUR","IND","HYG"}),1.38,1.31)))),2)</f>
        <v>23.03</v>
      </c>
      <c r="I808" s="27">
        <f>(Table1[[#This Row],[SALE PRICE]]-Table1[[#This Row],[COST PRICE]])/Table1[[#This Row],[SALE PRICE]]</f>
        <v>0.21884498480243172</v>
      </c>
      <c r="J808" s="27" t="str">
        <f>IF(Table1[[#This Row],[MARGIN]]&lt;25%, "REVIEW", "OK")</f>
        <v>REVIEW</v>
      </c>
    </row>
    <row r="809" spans="1:10" s="1" customFormat="1" ht="31.2" x14ac:dyDescent="0.3">
      <c r="A809" s="16" t="s">
        <v>837</v>
      </c>
      <c r="B809" s="2" t="s">
        <v>8</v>
      </c>
      <c r="C809" s="2"/>
      <c r="D809" s="2" t="s">
        <v>8</v>
      </c>
      <c r="E809" s="2" t="s">
        <v>8</v>
      </c>
      <c r="F809" s="2" t="s">
        <v>8</v>
      </c>
      <c r="G809" s="48" t="s">
        <v>8</v>
      </c>
      <c r="H809" s="48" t="e" cm="1">
        <f t="array" ref="H809">ROUND(G809*IF(OR(MID(A809,5,3)={"BFF","PRK","FPL","LMB","FFI","MET","RIC","FLR","SUG","OIL","DRK","JCE","FEG"}),1.21,IF(OR(MID(A809,5,3)={"FVG","FFR"}),1.33,IF(OR(MID(A809,5,3)={"FBT","FCH","FMK","FYG","MLK","ICE","FRV","FPO","FRF","FCC","BRD"}),1.28,IF(OR(MID(A809,5,3)={"BIS","CRP","HRB","TUR","IND","HYG"}),1.38,1.31)))),2)</f>
        <v>#VALUE!</v>
      </c>
      <c r="I809" s="19"/>
      <c r="J809" s="19"/>
    </row>
    <row r="810" spans="1:10" ht="15.6" x14ac:dyDescent="0.3">
      <c r="A810" s="17" t="s">
        <v>838</v>
      </c>
      <c r="B810" s="12" t="s">
        <v>839</v>
      </c>
      <c r="C810" s="12" t="s">
        <v>1439</v>
      </c>
      <c r="D810" s="10" t="s">
        <v>8</v>
      </c>
      <c r="E810" s="10" t="s">
        <v>8</v>
      </c>
      <c r="F810" s="12" t="s">
        <v>994</v>
      </c>
      <c r="G810" s="46">
        <v>5.4</v>
      </c>
      <c r="H810" s="47" cm="1">
        <f t="array" ref="H810">ROUND(G810*IF(OR(MID(A810,5,3)={"BFF","PRK","FPL","LMB","FFI","MET","RIC","FLR","SUG","OIL","DRK","JCE","FEG"}),1.21,IF(OR(MID(A810,5,3)={"FVG","FFR"}),1.33,IF(OR(MID(A810,5,3)={"FBT","FCH","FMK","FYG","MLK","ICE","FRV","FPO","FRF","FCC","BRD"}),1.28,IF(OR(MID(A810,5,3)={"BIS","CRP","HRB","TUR","IND","HYG"}),1.38,1.31)))),2)</f>
        <v>7.18</v>
      </c>
      <c r="I810" s="27">
        <f>(Table1[[#This Row],[SALE PRICE]]-Table1[[#This Row],[COST PRICE]])/Table1[[#This Row],[SALE PRICE]]</f>
        <v>0.24791086350974922</v>
      </c>
      <c r="J810" s="27" t="str">
        <f>IF(Table1[[#This Row],[MARGIN]]&lt;25%, "REVIEW", "OK")</f>
        <v>REVIEW</v>
      </c>
    </row>
    <row r="811" spans="1:10" ht="15.6" x14ac:dyDescent="0.3">
      <c r="A811" s="18" t="s">
        <v>840</v>
      </c>
      <c r="B811" s="13" t="s">
        <v>841</v>
      </c>
      <c r="C811" s="13" t="s">
        <v>1427</v>
      </c>
      <c r="D811" s="11" t="s">
        <v>8</v>
      </c>
      <c r="E811" s="11" t="s">
        <v>8</v>
      </c>
      <c r="F811" s="13" t="s">
        <v>995</v>
      </c>
      <c r="G811" s="47">
        <v>5</v>
      </c>
      <c r="H811" s="46" cm="1">
        <f t="array" ref="H811">ROUND(G811*IF(OR(MID(A811,5,3)={"BFF","PRK","FPL","LMB","FFI","MET","RIC","FLR","SUG","OIL","DRK","JCE","FEG"}),1.21,IF(OR(MID(A811,5,3)={"FVG","FFR"}),1.33,IF(OR(MID(A811,5,3)={"FBT","FCH","FMK","FYG","MLK","ICE","FRV","FPO","FRF","FCC","BRD"}),1.28,IF(OR(MID(A811,5,3)={"BIS","CRP","HRB","TUR","IND","HYG"}),1.38,1.31)))),2)</f>
        <v>6.65</v>
      </c>
      <c r="I811" s="29">
        <f>(Table1[[#This Row],[SALE PRICE]]-Table1[[#This Row],[COST PRICE]])/Table1[[#This Row],[SALE PRICE]]</f>
        <v>0.24812030075187974</v>
      </c>
      <c r="J811" s="26" t="str">
        <f>IF(Table1[[#This Row],[MARGIN]]&lt;25%, "REVIEW", "OK")</f>
        <v>REVIEW</v>
      </c>
    </row>
    <row r="812" spans="1:10" ht="15.6" x14ac:dyDescent="0.3">
      <c r="A812" s="17" t="s">
        <v>842</v>
      </c>
      <c r="B812" s="12" t="s">
        <v>843</v>
      </c>
      <c r="C812" s="12" t="s">
        <v>1427</v>
      </c>
      <c r="D812" s="10" t="s">
        <v>8</v>
      </c>
      <c r="E812" s="10" t="s">
        <v>8</v>
      </c>
      <c r="F812" s="12" t="s">
        <v>996</v>
      </c>
      <c r="G812" s="46">
        <v>13.34</v>
      </c>
      <c r="H812" s="47" cm="1">
        <f t="array" ref="H812">ROUND(G812*IF(OR(MID(A812,5,3)={"BFF","PRK","FPL","LMB","FFI","MET","RIC","FLR","SUG","OIL","DRK","JCE","FEG"}),1.21,IF(OR(MID(A812,5,3)={"FVG","FFR"}),1.33,IF(OR(MID(A812,5,3)={"FBT","FCH","FMK","FYG","MLK","ICE","FRV","FPO","FRF","FCC","BRD"}),1.28,IF(OR(MID(A812,5,3)={"BIS","CRP","HRB","TUR","IND","HYG"}),1.38,1.31)))),2)</f>
        <v>17.739999999999998</v>
      </c>
      <c r="I812" s="27">
        <f>(Table1[[#This Row],[SALE PRICE]]-Table1[[#This Row],[COST PRICE]])/Table1[[#This Row],[SALE PRICE]]</f>
        <v>0.24802705749718146</v>
      </c>
      <c r="J812" s="27" t="str">
        <f>IF(Table1[[#This Row],[MARGIN]]&lt;25%, "REVIEW", "OK")</f>
        <v>REVIEW</v>
      </c>
    </row>
    <row r="813" spans="1:10" ht="15.6" x14ac:dyDescent="0.3">
      <c r="A813" s="18" t="s">
        <v>844</v>
      </c>
      <c r="B813" s="13" t="s">
        <v>845</v>
      </c>
      <c r="C813" s="13" t="s">
        <v>1444</v>
      </c>
      <c r="D813" s="11" t="s">
        <v>8</v>
      </c>
      <c r="E813" s="11" t="s">
        <v>8</v>
      </c>
      <c r="F813" s="13" t="s">
        <v>997</v>
      </c>
      <c r="G813" s="47">
        <v>1.3</v>
      </c>
      <c r="H813" s="46" cm="1">
        <f t="array" ref="H813">ROUND(G813*IF(OR(MID(A813,5,3)={"BFF","PRK","FPL","LMB","FFI","MET","RIC","FLR","SUG","OIL","DRK","JCE","FEG"}),1.21,IF(OR(MID(A813,5,3)={"FVG","FFR"}),1.33,IF(OR(MID(A813,5,3)={"FBT","FCH","FMK","FYG","MLK","ICE","FRV","FPO","FRF","FCC","BRD"}),1.28,IF(OR(MID(A813,5,3)={"BIS","CRP","HRB","TUR","IND","HYG"}),1.38,1.31)))),2)</f>
        <v>1.73</v>
      </c>
      <c r="I813" s="29">
        <f>(Table1[[#This Row],[SALE PRICE]]-Table1[[#This Row],[COST PRICE]])/Table1[[#This Row],[SALE PRICE]]</f>
        <v>0.24855491329479765</v>
      </c>
      <c r="J813" s="26" t="str">
        <f>IF(Table1[[#This Row],[MARGIN]]&lt;25%, "REVIEW", "OK")</f>
        <v>REVIEW</v>
      </c>
    </row>
    <row r="814" spans="1:10" ht="15.6" x14ac:dyDescent="0.3">
      <c r="A814" s="17" t="s">
        <v>846</v>
      </c>
      <c r="B814" s="12" t="s">
        <v>847</v>
      </c>
      <c r="C814" s="12" t="s">
        <v>1427</v>
      </c>
      <c r="D814" s="10" t="s">
        <v>8</v>
      </c>
      <c r="E814" s="10" t="s">
        <v>8</v>
      </c>
      <c r="F814" s="12" t="s">
        <v>998</v>
      </c>
      <c r="G814" s="46">
        <v>7.9</v>
      </c>
      <c r="H814" s="47" cm="1">
        <f t="array" ref="H814">ROUND(G814*IF(OR(MID(A814,5,3)={"BFF","PRK","FPL","LMB","FFI","MET","RIC","FLR","SUG","OIL","DRK","JCE","FEG"}),1.21,IF(OR(MID(A814,5,3)={"FVG","FFR"}),1.33,IF(OR(MID(A814,5,3)={"FBT","FCH","FMK","FYG","MLK","ICE","FRV","FPO","FRF","FCC","BRD"}),1.28,IF(OR(MID(A814,5,3)={"BIS","CRP","HRB","TUR","IND","HYG"}),1.38,1.31)))),2)</f>
        <v>10.51</v>
      </c>
      <c r="I814" s="27">
        <f>(Table1[[#This Row],[SALE PRICE]]-Table1[[#This Row],[COST PRICE]])/Table1[[#This Row],[SALE PRICE]]</f>
        <v>0.24833491912464314</v>
      </c>
      <c r="J814" s="27" t="str">
        <f>IF(Table1[[#This Row],[MARGIN]]&lt;25%, "REVIEW", "OK")</f>
        <v>REVIEW</v>
      </c>
    </row>
    <row r="815" spans="1:10" ht="15.6" x14ac:dyDescent="0.3">
      <c r="A815" s="18" t="s">
        <v>848</v>
      </c>
      <c r="B815" s="13" t="s">
        <v>849</v>
      </c>
      <c r="C815" s="13" t="s">
        <v>1439</v>
      </c>
      <c r="D815" s="11" t="s">
        <v>8</v>
      </c>
      <c r="E815" s="11" t="s">
        <v>8</v>
      </c>
      <c r="F815" s="13" t="s">
        <v>994</v>
      </c>
      <c r="G815" s="47">
        <v>1.25</v>
      </c>
      <c r="H815" s="46" cm="1">
        <f t="array" ref="H815">ROUND(G815*IF(OR(MID(A815,5,3)={"BFF","PRK","FPL","LMB","FFI","MET","RIC","FLR","SUG","OIL","DRK","JCE","FEG"}),1.21,IF(OR(MID(A815,5,3)={"FVG","FFR"}),1.33,IF(OR(MID(A815,5,3)={"FBT","FCH","FMK","FYG","MLK","ICE","FRV","FPO","FRF","FCC","BRD"}),1.28,IF(OR(MID(A815,5,3)={"BIS","CRP","HRB","TUR","IND","HYG"}),1.38,1.31)))),2)</f>
        <v>1.66</v>
      </c>
      <c r="I815" s="29">
        <f>(Table1[[#This Row],[SALE PRICE]]-Table1[[#This Row],[COST PRICE]])/Table1[[#This Row],[SALE PRICE]]</f>
        <v>0.24698795180722888</v>
      </c>
      <c r="J815" s="26" t="str">
        <f>IF(Table1[[#This Row],[MARGIN]]&lt;25%, "REVIEW", "OK")</f>
        <v>REVIEW</v>
      </c>
    </row>
    <row r="816" spans="1:10" ht="15.6" x14ac:dyDescent="0.3">
      <c r="A816" s="17" t="s">
        <v>850</v>
      </c>
      <c r="B816" s="12" t="s">
        <v>1054</v>
      </c>
      <c r="C816" s="12" t="s">
        <v>1427</v>
      </c>
      <c r="D816" s="10" t="s">
        <v>8</v>
      </c>
      <c r="E816" s="10" t="s">
        <v>8</v>
      </c>
      <c r="F816" s="12" t="s">
        <v>1055</v>
      </c>
      <c r="G816" s="46">
        <v>10.5</v>
      </c>
      <c r="H816" s="47" cm="1">
        <f t="array" ref="H816">ROUND(G816*IF(OR(MID(A816,5,3)={"BFF","PRK","FPL","LMB","FFI","MET","RIC","FLR","SUG","OIL","DRK","JCE","FEG"}),1.21,IF(OR(MID(A816,5,3)={"FVG","FFR"}),1.33,IF(OR(MID(A816,5,3)={"FBT","FCH","FMK","FYG","MLK","ICE","FRV","FPO","FRF","FCC","BRD"}),1.28,IF(OR(MID(A816,5,3)={"BIS","CRP","HRB","TUR","IND","HYG"}),1.38,1.31)))),2)</f>
        <v>13.97</v>
      </c>
      <c r="I816" s="27">
        <f>(Table1[[#This Row],[SALE PRICE]]-Table1[[#This Row],[COST PRICE]])/Table1[[#This Row],[SALE PRICE]]</f>
        <v>0.24838940586972086</v>
      </c>
      <c r="J816" s="27" t="str">
        <f>IF(Table1[[#This Row],[MARGIN]]&lt;25%, "REVIEW", "OK")</f>
        <v>REVIEW</v>
      </c>
    </row>
    <row r="817" spans="1:10" ht="15.6" x14ac:dyDescent="0.3">
      <c r="A817" s="18" t="s">
        <v>851</v>
      </c>
      <c r="B817" s="13" t="s">
        <v>852</v>
      </c>
      <c r="C817" s="13" t="s">
        <v>1439</v>
      </c>
      <c r="D817" s="11" t="s">
        <v>8</v>
      </c>
      <c r="E817" s="11" t="s">
        <v>8</v>
      </c>
      <c r="F817" s="13" t="s">
        <v>994</v>
      </c>
      <c r="G817" s="47">
        <v>1.91</v>
      </c>
      <c r="H817" s="46" cm="1">
        <f t="array" ref="H817">ROUND(G817*IF(OR(MID(A817,5,3)={"BFF","PRK","FPL","LMB","FFI","MET","RIC","FLR","SUG","OIL","DRK","JCE","FEG"}),1.21,IF(OR(MID(A817,5,3)={"FVG","FFR"}),1.33,IF(OR(MID(A817,5,3)={"FBT","FCH","FMK","FYG","MLK","ICE","FRV","FPO","FRF","FCC","BRD"}),1.28,IF(OR(MID(A817,5,3)={"BIS","CRP","HRB","TUR","IND","HYG"}),1.38,1.31)))),2)</f>
        <v>2.54</v>
      </c>
      <c r="I817" s="29">
        <f>(Table1[[#This Row],[SALE PRICE]]-Table1[[#This Row],[COST PRICE]])/Table1[[#This Row],[SALE PRICE]]</f>
        <v>0.24803149606299216</v>
      </c>
      <c r="J817" s="26" t="str">
        <f>IF(Table1[[#This Row],[MARGIN]]&lt;25%, "REVIEW", "OK")</f>
        <v>REVIEW</v>
      </c>
    </row>
    <row r="818" spans="1:10" ht="15.6" x14ac:dyDescent="0.3">
      <c r="A818" s="17" t="s">
        <v>853</v>
      </c>
      <c r="B818" s="12" t="s">
        <v>854</v>
      </c>
      <c r="C818" s="12" t="s">
        <v>1427</v>
      </c>
      <c r="D818" s="10" t="s">
        <v>8</v>
      </c>
      <c r="E818" s="10" t="s">
        <v>8</v>
      </c>
      <c r="F818" s="12" t="s">
        <v>1000</v>
      </c>
      <c r="G818" s="46">
        <v>20</v>
      </c>
      <c r="H818" s="47" cm="1">
        <f t="array" ref="H818">ROUND(G818*IF(OR(MID(A818,5,3)={"BFF","PRK","FPL","LMB","FFI","MET","RIC","FLR","SUG","OIL","DRK","JCE","FEG"}),1.21,IF(OR(MID(A818,5,3)={"FVG","FFR"}),1.33,IF(OR(MID(A818,5,3)={"FBT","FCH","FMK","FYG","MLK","ICE","FRV","FPO","FRF","FCC","BRD"}),1.28,IF(OR(MID(A818,5,3)={"BIS","CRP","HRB","TUR","IND","HYG"}),1.38,1.31)))),2)</f>
        <v>26.6</v>
      </c>
      <c r="I818" s="27">
        <f>(Table1[[#This Row],[SALE PRICE]]-Table1[[#This Row],[COST PRICE]])/Table1[[#This Row],[SALE PRICE]]</f>
        <v>0.24812030075187974</v>
      </c>
      <c r="J818" s="27" t="str">
        <f>IF(Table1[[#This Row],[MARGIN]]&lt;25%, "REVIEW", "OK")</f>
        <v>REVIEW</v>
      </c>
    </row>
    <row r="819" spans="1:10" ht="15.6" x14ac:dyDescent="0.3">
      <c r="A819" s="18" t="s">
        <v>855</v>
      </c>
      <c r="B819" s="13" t="s">
        <v>856</v>
      </c>
      <c r="C819" s="13" t="s">
        <v>1427</v>
      </c>
      <c r="D819" s="11" t="s">
        <v>8</v>
      </c>
      <c r="E819" s="11" t="s">
        <v>8</v>
      </c>
      <c r="F819" s="13" t="s">
        <v>1001</v>
      </c>
      <c r="G819" s="47">
        <v>13.95</v>
      </c>
      <c r="H819" s="46" cm="1">
        <f t="array" ref="H819">ROUND(G819*IF(OR(MID(A819,5,3)={"BFF","PRK","FPL","LMB","FFI","MET","RIC","FLR","SUG","OIL","DRK","JCE","FEG"}),1.21,IF(OR(MID(A819,5,3)={"FVG","FFR"}),1.33,IF(OR(MID(A819,5,3)={"FBT","FCH","FMK","FYG","MLK","ICE","FRV","FPO","FRF","FCC","BRD"}),1.28,IF(OR(MID(A819,5,3)={"BIS","CRP","HRB","TUR","IND","HYG"}),1.38,1.31)))),2)</f>
        <v>18.55</v>
      </c>
      <c r="I819" s="29">
        <f>(Table1[[#This Row],[SALE PRICE]]-Table1[[#This Row],[COST PRICE]])/Table1[[#This Row],[SALE PRICE]]</f>
        <v>0.24797843665768202</v>
      </c>
      <c r="J819" s="26" t="str">
        <f>IF(Table1[[#This Row],[MARGIN]]&lt;25%, "REVIEW", "OK")</f>
        <v>REVIEW</v>
      </c>
    </row>
    <row r="820" spans="1:10" ht="15.6" x14ac:dyDescent="0.3">
      <c r="A820" s="17" t="s">
        <v>857</v>
      </c>
      <c r="B820" s="12" t="s">
        <v>1056</v>
      </c>
      <c r="C820" s="12" t="s">
        <v>1427</v>
      </c>
      <c r="D820" s="10" t="s">
        <v>8</v>
      </c>
      <c r="E820" s="10" t="s">
        <v>8</v>
      </c>
      <c r="F820" s="12" t="s">
        <v>1001</v>
      </c>
      <c r="G820" s="46">
        <v>14</v>
      </c>
      <c r="H820" s="47" cm="1">
        <f t="array" ref="H820">ROUND(G820*IF(OR(MID(A820,5,3)={"BFF","PRK","FPL","LMB","FFI","MET","RIC","FLR","SUG","OIL","DRK","JCE","FEG"}),1.21,IF(OR(MID(A820,5,3)={"FVG","FFR"}),1.33,IF(OR(MID(A820,5,3)={"FBT","FCH","FMK","FYG","MLK","ICE","FRV","FPO","FRF","FCC","BRD"}),1.28,IF(OR(MID(A820,5,3)={"BIS","CRP","HRB","TUR","IND","HYG"}),1.38,1.31)))),2)</f>
        <v>18.62</v>
      </c>
      <c r="I820" s="27">
        <f>(Table1[[#This Row],[SALE PRICE]]-Table1[[#This Row],[COST PRICE]])/Table1[[#This Row],[SALE PRICE]]</f>
        <v>0.24812030075187974</v>
      </c>
      <c r="J820" s="27" t="str">
        <f>IF(Table1[[#This Row],[MARGIN]]&lt;25%, "REVIEW", "OK")</f>
        <v>REVIEW</v>
      </c>
    </row>
    <row r="821" spans="1:10" ht="15.6" x14ac:dyDescent="0.3">
      <c r="A821" s="18" t="s">
        <v>858</v>
      </c>
      <c r="B821" s="13" t="s">
        <v>1025</v>
      </c>
      <c r="C821" s="13" t="s">
        <v>1427</v>
      </c>
      <c r="D821" s="11" t="s">
        <v>8</v>
      </c>
      <c r="E821" s="11" t="s">
        <v>8</v>
      </c>
      <c r="F821" s="13" t="s">
        <v>999</v>
      </c>
      <c r="G821" s="47">
        <v>16.68</v>
      </c>
      <c r="H821" s="46" cm="1">
        <f t="array" ref="H821">ROUND(G821*IF(OR(MID(A821,5,3)={"BFF","PRK","FPL","LMB","FFI","MET","RIC","FLR","SUG","OIL","DRK","JCE","FEG"}),1.21,IF(OR(MID(A821,5,3)={"FVG","FFR"}),1.33,IF(OR(MID(A821,5,3)={"FBT","FCH","FMK","FYG","MLK","ICE","FRV","FPO","FRF","FCC","BRD"}),1.28,IF(OR(MID(A821,5,3)={"BIS","CRP","HRB","TUR","IND","HYG"}),1.38,1.31)))),2)</f>
        <v>22.18</v>
      </c>
      <c r="I821" s="29">
        <f>(Table1[[#This Row],[SALE PRICE]]-Table1[[#This Row],[COST PRICE]])/Table1[[#This Row],[SALE PRICE]]</f>
        <v>0.2479711451758341</v>
      </c>
      <c r="J821" s="26" t="str">
        <f>IF(Table1[[#This Row],[MARGIN]]&lt;25%, "REVIEW", "OK")</f>
        <v>REVIEW</v>
      </c>
    </row>
    <row r="822" spans="1:10" ht="15.6" x14ac:dyDescent="0.3">
      <c r="A822" s="17" t="s">
        <v>859</v>
      </c>
      <c r="B822" s="12" t="s">
        <v>991</v>
      </c>
      <c r="C822" s="12" t="s">
        <v>1427</v>
      </c>
      <c r="D822" s="10" t="s">
        <v>8</v>
      </c>
      <c r="E822" s="10" t="s">
        <v>8</v>
      </c>
      <c r="F822" s="12" t="s">
        <v>995</v>
      </c>
      <c r="G822" s="46">
        <v>18</v>
      </c>
      <c r="H822" s="47" cm="1">
        <f t="array" ref="H822">ROUND(G822*IF(OR(MID(A822,5,3)={"BFF","PRK","FPL","LMB","FFI","MET","RIC","FLR","SUG","OIL","DRK","JCE","FEG"}),1.21,IF(OR(MID(A822,5,3)={"FVG","FFR"}),1.33,IF(OR(MID(A822,5,3)={"FBT","FCH","FMK","FYG","MLK","ICE","FRV","FPO","FRF","FCC","BRD"}),1.28,IF(OR(MID(A822,5,3)={"BIS","CRP","HRB","TUR","IND","HYG"}),1.38,1.31)))),2)</f>
        <v>23.94</v>
      </c>
      <c r="I822" s="27">
        <f>(Table1[[#This Row],[SALE PRICE]]-Table1[[#This Row],[COST PRICE]])/Table1[[#This Row],[SALE PRICE]]</f>
        <v>0.24812030075187974</v>
      </c>
      <c r="J822" s="27" t="str">
        <f>IF(Table1[[#This Row],[MARGIN]]&lt;25%, "REVIEW", "OK")</f>
        <v>REVIEW</v>
      </c>
    </row>
    <row r="823" spans="1:10" ht="15.6" x14ac:dyDescent="0.3">
      <c r="A823" s="18" t="s">
        <v>860</v>
      </c>
      <c r="B823" s="13" t="s">
        <v>992</v>
      </c>
      <c r="C823" s="13" t="s">
        <v>1427</v>
      </c>
      <c r="D823" s="11" t="s">
        <v>8</v>
      </c>
      <c r="E823" s="11" t="s">
        <v>8</v>
      </c>
      <c r="F823" s="13" t="s">
        <v>995</v>
      </c>
      <c r="G823" s="47">
        <v>18</v>
      </c>
      <c r="H823" s="46" cm="1">
        <f t="array" ref="H823">ROUND(G823*IF(OR(MID(A823,5,3)={"BFF","PRK","FPL","LMB","FFI","MET","RIC","FLR","SUG","OIL","DRK","JCE","FEG"}),1.21,IF(OR(MID(A823,5,3)={"FVG","FFR"}),1.33,IF(OR(MID(A823,5,3)={"FBT","FCH","FMK","FYG","MLK","ICE","FRV","FPO","FRF","FCC","BRD"}),1.28,IF(OR(MID(A823,5,3)={"BIS","CRP","HRB","TUR","IND","HYG"}),1.38,1.31)))),2)</f>
        <v>23.94</v>
      </c>
      <c r="I823" s="29">
        <f>(Table1[[#This Row],[SALE PRICE]]-Table1[[#This Row],[COST PRICE]])/Table1[[#This Row],[SALE PRICE]]</f>
        <v>0.24812030075187974</v>
      </c>
      <c r="J823" s="26" t="str">
        <f>IF(Table1[[#This Row],[MARGIN]]&lt;25%, "REVIEW", "OK")</f>
        <v>REVIEW</v>
      </c>
    </row>
    <row r="824" spans="1:10" ht="15.6" x14ac:dyDescent="0.3">
      <c r="A824" s="17" t="s">
        <v>861</v>
      </c>
      <c r="B824" s="12" t="s">
        <v>993</v>
      </c>
      <c r="C824" s="12" t="s">
        <v>1427</v>
      </c>
      <c r="D824" s="10" t="s">
        <v>8</v>
      </c>
      <c r="E824" s="10" t="s">
        <v>8</v>
      </c>
      <c r="F824" s="12" t="s">
        <v>995</v>
      </c>
      <c r="G824" s="46">
        <v>18</v>
      </c>
      <c r="H824" s="47" cm="1">
        <f t="array" ref="H824">ROUND(G824*IF(OR(MID(A824,5,3)={"BFF","PRK","FPL","LMB","FFI","MET","RIC","FLR","SUG","OIL","DRK","JCE","FEG"}),1.21,IF(OR(MID(A824,5,3)={"FVG","FFR"}),1.33,IF(OR(MID(A824,5,3)={"FBT","FCH","FMK","FYG","MLK","ICE","FRV","FPO","FRF","FCC","BRD"}),1.28,IF(OR(MID(A824,5,3)={"BIS","CRP","HRB","TUR","IND","HYG"}),1.38,1.31)))),2)</f>
        <v>23.94</v>
      </c>
      <c r="I824" s="27">
        <f>(Table1[[#This Row],[SALE PRICE]]-Table1[[#This Row],[COST PRICE]])/Table1[[#This Row],[SALE PRICE]]</f>
        <v>0.24812030075187974</v>
      </c>
      <c r="J824" s="27" t="str">
        <f>IF(Table1[[#This Row],[MARGIN]]&lt;25%, "REVIEW", "OK")</f>
        <v>REVIEW</v>
      </c>
    </row>
    <row r="825" spans="1:10" ht="15.6" x14ac:dyDescent="0.3">
      <c r="A825" s="18" t="s">
        <v>862</v>
      </c>
      <c r="B825" s="13" t="s">
        <v>2294</v>
      </c>
      <c r="C825" s="13" t="s">
        <v>1429</v>
      </c>
      <c r="D825" s="11" t="s">
        <v>8</v>
      </c>
      <c r="E825" s="11" t="s">
        <v>8</v>
      </c>
      <c r="F825" s="13" t="s">
        <v>1010</v>
      </c>
      <c r="G825" s="47">
        <v>4.99</v>
      </c>
      <c r="H825" s="46" cm="1">
        <f t="array" ref="H825">ROUND(G825*IF(OR(MID(A825,5,3)={"BFF","PRK","FPL","LMB","FFI","MET","RIC","FLR","SUG","OIL","DRK","JCE","FEG"}),1.21,IF(OR(MID(A825,5,3)={"FVG","FFR"}),1.33,IF(OR(MID(A825,5,3)={"FBT","FCH","FMK","FYG","MLK","ICE","FRV","FPO","FRF","FCC","BRD"}),1.28,IF(OR(MID(A825,5,3)={"BIS","CRP","HRB","TUR","IND","HYG"}),1.38,1.31)))),2)</f>
        <v>6.64</v>
      </c>
      <c r="I825" s="29">
        <f>(Table1[[#This Row],[SALE PRICE]]-Table1[[#This Row],[COST PRICE]])/Table1[[#This Row],[SALE PRICE]]</f>
        <v>0.24849397590361438</v>
      </c>
      <c r="J825" s="26" t="str">
        <f>IF(Table1[[#This Row],[MARGIN]]&lt;25%, "REVIEW", "OK")</f>
        <v>REVIEW</v>
      </c>
    </row>
    <row r="826" spans="1:10" ht="15.6" x14ac:dyDescent="0.3">
      <c r="A826" s="17" t="s">
        <v>863</v>
      </c>
      <c r="B826" s="12" t="s">
        <v>864</v>
      </c>
      <c r="C826" s="12" t="s">
        <v>1427</v>
      </c>
      <c r="D826" s="10" t="s">
        <v>8</v>
      </c>
      <c r="E826" s="10" t="s">
        <v>8</v>
      </c>
      <c r="F826" s="12" t="s">
        <v>1003</v>
      </c>
      <c r="G826" s="46">
        <v>14</v>
      </c>
      <c r="H826" s="47" cm="1">
        <f t="array" ref="H826">ROUND(G826*IF(OR(MID(A826,5,3)={"BFF","PRK","FPL","LMB","FFI","MET","RIC","FLR","SUG","OIL","DRK","JCE","FEG"}),1.21,IF(OR(MID(A826,5,3)={"FVG","FFR"}),1.33,IF(OR(MID(A826,5,3)={"FBT","FCH","FMK","FYG","MLK","ICE","FRV","FPO","FRF","FCC","BRD"}),1.28,IF(OR(MID(A826,5,3)={"BIS","CRP","HRB","TUR","IND","HYG"}),1.38,1.31)))),2)</f>
        <v>18.62</v>
      </c>
      <c r="I826" s="27">
        <f>(Table1[[#This Row],[SALE PRICE]]-Table1[[#This Row],[COST PRICE]])/Table1[[#This Row],[SALE PRICE]]</f>
        <v>0.24812030075187974</v>
      </c>
      <c r="J826" s="27" t="str">
        <f>IF(Table1[[#This Row],[MARGIN]]&lt;25%, "REVIEW", "OK")</f>
        <v>REVIEW</v>
      </c>
    </row>
    <row r="827" spans="1:10" ht="15.6" x14ac:dyDescent="0.3">
      <c r="A827" s="18" t="s">
        <v>865</v>
      </c>
      <c r="B827" s="13" t="s">
        <v>1057</v>
      </c>
      <c r="C827" s="13" t="s">
        <v>1427</v>
      </c>
      <c r="D827" s="11" t="s">
        <v>8</v>
      </c>
      <c r="E827" s="11" t="s">
        <v>8</v>
      </c>
      <c r="F827" s="13" t="s">
        <v>1058</v>
      </c>
      <c r="G827" s="47">
        <v>7.6</v>
      </c>
      <c r="H827" s="46" cm="1">
        <f t="array" ref="H827">ROUND(G827*IF(OR(MID(A827,5,3)={"BFF","PRK","FPL","LMB","FFI","MET","RIC","FLR","SUG","OIL","DRK","JCE","FEG"}),1.21,IF(OR(MID(A827,5,3)={"FVG","FFR"}),1.33,IF(OR(MID(A827,5,3)={"FBT","FCH","FMK","FYG","MLK","ICE","FRV","FPO","FRF","FCC","BRD"}),1.28,IF(OR(MID(A827,5,3)={"BIS","CRP","HRB","TUR","IND","HYG"}),1.38,1.31)))),2)</f>
        <v>10.11</v>
      </c>
      <c r="I827" s="29">
        <f>(Table1[[#This Row],[SALE PRICE]]-Table1[[#This Row],[COST PRICE]])/Table1[[#This Row],[SALE PRICE]]</f>
        <v>0.24826904055390703</v>
      </c>
      <c r="J827" s="26" t="str">
        <f>IF(Table1[[#This Row],[MARGIN]]&lt;25%, "REVIEW", "OK")</f>
        <v>REVIEW</v>
      </c>
    </row>
    <row r="828" spans="1:10" ht="15.6" x14ac:dyDescent="0.3">
      <c r="A828" s="18" t="s">
        <v>866</v>
      </c>
      <c r="B828" s="13" t="s">
        <v>867</v>
      </c>
      <c r="C828" s="13" t="s">
        <v>1444</v>
      </c>
      <c r="D828" s="11" t="s">
        <v>8</v>
      </c>
      <c r="E828" s="11" t="s">
        <v>8</v>
      </c>
      <c r="F828" s="13" t="s">
        <v>997</v>
      </c>
      <c r="G828" s="47">
        <v>1.3</v>
      </c>
      <c r="H828" s="47" cm="1">
        <f t="array" ref="H828">ROUND(G828*IF(OR(MID(A828,5,3)={"BFF","PRK","FPL","LMB","FFI","MET","RIC","FLR","SUG","OIL","DRK","JCE","FEG"}),1.21,IF(OR(MID(A828,5,3)={"FVG","FFR"}),1.33,IF(OR(MID(A828,5,3)={"FBT","FCH","FMK","FYG","MLK","ICE","FRV","FPO","FRF","FCC","BRD"}),1.28,IF(OR(MID(A828,5,3)={"BIS","CRP","HRB","TUR","IND","HYG"}),1.38,1.31)))),2)</f>
        <v>1.73</v>
      </c>
      <c r="I828" s="27">
        <f>(Table1[[#This Row],[SALE PRICE]]-Table1[[#This Row],[COST PRICE]])/Table1[[#This Row],[SALE PRICE]]</f>
        <v>0.24855491329479765</v>
      </c>
      <c r="J828" s="27" t="str">
        <f>IF(Table1[[#This Row],[MARGIN]]&lt;25%, "REVIEW", "OK")</f>
        <v>REVIEW</v>
      </c>
    </row>
    <row r="829" spans="1:10" ht="15.6" x14ac:dyDescent="0.3">
      <c r="A829" s="17" t="s">
        <v>868</v>
      </c>
      <c r="B829" s="12" t="s">
        <v>869</v>
      </c>
      <c r="C829" s="12" t="s">
        <v>1441</v>
      </c>
      <c r="D829" s="10" t="s">
        <v>8</v>
      </c>
      <c r="E829" s="10" t="s">
        <v>8</v>
      </c>
      <c r="F829" s="12" t="s">
        <v>1002</v>
      </c>
      <c r="G829" s="46">
        <v>22</v>
      </c>
      <c r="H829" s="46" cm="1">
        <f t="array" ref="H829">ROUND(G829*IF(OR(MID(A829,5,3)={"BFF","PRK","FPL","LMB","FFI","MET","RIC","FLR","SUG","OIL","DRK","JCE","FEG"}),1.21,IF(OR(MID(A829,5,3)={"FVG","FFR"}),1.33,IF(OR(MID(A829,5,3)={"FBT","FCH","FMK","FYG","MLK","ICE","FRV","FPO","FRF","FCC","BRD"}),1.28,IF(OR(MID(A829,5,3)={"BIS","CRP","HRB","TUR","IND","HYG"}),1.38,1.31)))),2)</f>
        <v>29.26</v>
      </c>
      <c r="I829" s="29">
        <f>(Table1[[#This Row],[SALE PRICE]]-Table1[[#This Row],[COST PRICE]])/Table1[[#This Row],[SALE PRICE]]</f>
        <v>0.24812030075187974</v>
      </c>
      <c r="J829" s="26" t="str">
        <f>IF(Table1[[#This Row],[MARGIN]]&lt;25%, "REVIEW", "OK")</f>
        <v>REVIEW</v>
      </c>
    </row>
    <row r="830" spans="1:10" ht="15.6" x14ac:dyDescent="0.3">
      <c r="A830" s="18" t="s">
        <v>870</v>
      </c>
      <c r="B830" s="13" t="s">
        <v>871</v>
      </c>
      <c r="C830" s="13" t="s">
        <v>1444</v>
      </c>
      <c r="D830" s="11" t="s">
        <v>8</v>
      </c>
      <c r="E830" s="11" t="s">
        <v>8</v>
      </c>
      <c r="F830" s="13" t="s">
        <v>997</v>
      </c>
      <c r="G830" s="47">
        <v>1.3</v>
      </c>
      <c r="H830" s="47" cm="1">
        <f t="array" ref="H830">ROUND(G830*IF(OR(MID(A830,5,3)={"BFF","PRK","FPL","LMB","FFI","MET","RIC","FLR","SUG","OIL","DRK","JCE","FEG"}),1.21,IF(OR(MID(A830,5,3)={"FVG","FFR"}),1.33,IF(OR(MID(A830,5,3)={"FBT","FCH","FMK","FYG","MLK","ICE","FRV","FPO","FRF","FCC","BRD"}),1.28,IF(OR(MID(A830,5,3)={"BIS","CRP","HRB","TUR","IND","HYG"}),1.38,1.31)))),2)</f>
        <v>1.73</v>
      </c>
      <c r="I830" s="27">
        <f>(Table1[[#This Row],[SALE PRICE]]-Table1[[#This Row],[COST PRICE]])/Table1[[#This Row],[SALE PRICE]]</f>
        <v>0.24855491329479765</v>
      </c>
      <c r="J830" s="27" t="str">
        <f>IF(Table1[[#This Row],[MARGIN]]&lt;25%, "REVIEW", "OK")</f>
        <v>REVIEW</v>
      </c>
    </row>
    <row r="831" spans="1:10" ht="15.6" x14ac:dyDescent="0.3">
      <c r="A831" s="17" t="s">
        <v>872</v>
      </c>
      <c r="B831" s="12" t="s">
        <v>873</v>
      </c>
      <c r="C831" s="12" t="s">
        <v>1427</v>
      </c>
      <c r="D831" s="10" t="s">
        <v>8</v>
      </c>
      <c r="E831" s="10" t="s">
        <v>8</v>
      </c>
      <c r="F831" s="12" t="s">
        <v>1004</v>
      </c>
      <c r="G831" s="46">
        <v>11.49</v>
      </c>
      <c r="H831" s="46" cm="1">
        <f t="array" ref="H831">ROUND(G831*IF(OR(MID(A831,5,3)={"BFF","PRK","FPL","LMB","FFI","MET","RIC","FLR","SUG","OIL","DRK","JCE","FEG"}),1.21,IF(OR(MID(A831,5,3)={"FVG","FFR"}),1.33,IF(OR(MID(A831,5,3)={"FBT","FCH","FMK","FYG","MLK","ICE","FRV","FPO","FRF","FCC","BRD"}),1.28,IF(OR(MID(A831,5,3)={"BIS","CRP","HRB","TUR","IND","HYG"}),1.38,1.31)))),2)</f>
        <v>15.28</v>
      </c>
      <c r="I831" s="29">
        <f>(Table1[[#This Row],[SALE PRICE]]-Table1[[#This Row],[COST PRICE]])/Table1[[#This Row],[SALE PRICE]]</f>
        <v>0.24803664921465965</v>
      </c>
      <c r="J831" s="26" t="str">
        <f>IF(Table1[[#This Row],[MARGIN]]&lt;25%, "REVIEW", "OK")</f>
        <v>REVIEW</v>
      </c>
    </row>
    <row r="832" spans="1:10" ht="15.6" x14ac:dyDescent="0.3">
      <c r="A832" s="18" t="s">
        <v>874</v>
      </c>
      <c r="B832" s="13" t="s">
        <v>875</v>
      </c>
      <c r="C832" s="13" t="s">
        <v>1439</v>
      </c>
      <c r="D832" s="11" t="s">
        <v>8</v>
      </c>
      <c r="E832" s="11" t="s">
        <v>8</v>
      </c>
      <c r="F832" s="13" t="s">
        <v>994</v>
      </c>
      <c r="G832" s="47" t="s">
        <v>8</v>
      </c>
      <c r="H832" s="47" t="e" cm="1">
        <f t="array" ref="H832">ROUND(G832*IF(OR(MID(A832,5,3)={"BFF","PRK","FPL","LMB","FFI","MET","RIC","FLR","SUG","OIL","DRK","JCE","FEG"}),1.21,IF(OR(MID(A832,5,3)={"FVG","FFR"}),1.33,IF(OR(MID(A832,5,3)={"FBT","FCH","FMK","FYG","MLK","ICE","FRV","FPO","FRF","FCC","BRD"}),1.28,IF(OR(MID(A832,5,3)={"BIS","CRP","HRB","TUR","IND","HYG"}),1.38,1.31)))),2)</f>
        <v>#VALUE!</v>
      </c>
      <c r="I832" s="27" t="e">
        <f>(Table1[[#This Row],[SALE PRICE]]-Table1[[#This Row],[COST PRICE]])/Table1[[#This Row],[SALE PRICE]]</f>
        <v>#VALUE!</v>
      </c>
      <c r="J832" s="27" t="e">
        <f>IF(Table1[[#This Row],[MARGIN]]&lt;25%, "REVIEW", "OK")</f>
        <v>#VALUE!</v>
      </c>
    </row>
    <row r="833" spans="1:10" ht="15.6" x14ac:dyDescent="0.3">
      <c r="A833" s="17" t="s">
        <v>876</v>
      </c>
      <c r="B833" s="12" t="s">
        <v>877</v>
      </c>
      <c r="C833" s="12" t="s">
        <v>1439</v>
      </c>
      <c r="D833" s="10" t="s">
        <v>8</v>
      </c>
      <c r="E833" s="10" t="s">
        <v>8</v>
      </c>
      <c r="F833" s="12" t="s">
        <v>994</v>
      </c>
      <c r="G833" s="46" t="s">
        <v>8</v>
      </c>
      <c r="H833" s="46" t="e" cm="1">
        <f t="array" ref="H833">ROUND(G833*IF(OR(MID(A833,5,3)={"BFF","PRK","FPL","LMB","FFI","MET","RIC","FLR","SUG","OIL","DRK","JCE","FEG"}),1.21,IF(OR(MID(A833,5,3)={"FVG","FFR"}),1.33,IF(OR(MID(A833,5,3)={"FBT","FCH","FMK","FYG","MLK","ICE","FRV","FPO","FRF","FCC","BRD"}),1.28,IF(OR(MID(A833,5,3)={"BIS","CRP","HRB","TUR","IND","HYG"}),1.38,1.31)))),2)</f>
        <v>#VALUE!</v>
      </c>
      <c r="I833" s="29" t="e">
        <f>(Table1[[#This Row],[SALE PRICE]]-Table1[[#This Row],[COST PRICE]])/Table1[[#This Row],[SALE PRICE]]</f>
        <v>#VALUE!</v>
      </c>
      <c r="J833" s="26" t="e">
        <f>IF(Table1[[#This Row],[MARGIN]]&lt;25%, "REVIEW", "OK")</f>
        <v>#VALUE!</v>
      </c>
    </row>
    <row r="834" spans="1:10" ht="15.6" x14ac:dyDescent="0.3">
      <c r="A834" s="18" t="s">
        <v>878</v>
      </c>
      <c r="B834" s="13" t="s">
        <v>1445</v>
      </c>
      <c r="C834" s="13" t="s">
        <v>1444</v>
      </c>
      <c r="D834" s="11" t="s">
        <v>8</v>
      </c>
      <c r="E834" s="11" t="s">
        <v>8</v>
      </c>
      <c r="F834" s="13" t="s">
        <v>997</v>
      </c>
      <c r="G834" s="47">
        <v>1.59</v>
      </c>
      <c r="H834" s="47" cm="1">
        <f t="array" ref="H834">ROUND(G834*IF(OR(MID(A834,5,3)={"BFF","PRK","FPL","LMB","FFI","MET","RIC","FLR","SUG","OIL","DRK","JCE","FEG"}),1.21,IF(OR(MID(A834,5,3)={"FVG","FFR"}),1.33,IF(OR(MID(A834,5,3)={"FBT","FCH","FMK","FYG","MLK","ICE","FRV","FPO","FRF","FCC","BRD"}),1.28,IF(OR(MID(A834,5,3)={"BIS","CRP","HRB","TUR","IND","HYG"}),1.38,1.31)))),2)</f>
        <v>2.11</v>
      </c>
      <c r="I834" s="27">
        <f>(Table1[[#This Row],[SALE PRICE]]-Table1[[#This Row],[COST PRICE]])/Table1[[#This Row],[SALE PRICE]]</f>
        <v>0.24644549763033166</v>
      </c>
      <c r="J834" s="27" t="str">
        <f>IF(Table1[[#This Row],[MARGIN]]&lt;25%, "REVIEW", "OK")</f>
        <v>REVIEW</v>
      </c>
    </row>
    <row r="835" spans="1:10" ht="15.6" x14ac:dyDescent="0.3">
      <c r="A835" s="17" t="s">
        <v>879</v>
      </c>
      <c r="B835" s="12" t="s">
        <v>1059</v>
      </c>
      <c r="C835" s="12" t="s">
        <v>1427</v>
      </c>
      <c r="D835" s="10" t="s">
        <v>8</v>
      </c>
      <c r="E835" s="10" t="s">
        <v>8</v>
      </c>
      <c r="F835" s="12" t="s">
        <v>995</v>
      </c>
      <c r="G835" s="46">
        <v>15.29</v>
      </c>
      <c r="H835" s="46" cm="1">
        <f t="array" ref="H835">ROUND(G835*IF(OR(MID(A835,5,3)={"BFF","PRK","FPL","LMB","FFI","MET","RIC","FLR","SUG","OIL","DRK","JCE","FEG"}),1.21,IF(OR(MID(A835,5,3)={"FVG","FFR"}),1.33,IF(OR(MID(A835,5,3)={"FBT","FCH","FMK","FYG","MLK","ICE","FRV","FPO","FRF","FCC","BRD"}),1.28,IF(OR(MID(A835,5,3)={"BIS","CRP","HRB","TUR","IND","HYG"}),1.38,1.31)))),2)</f>
        <v>20.34</v>
      </c>
      <c r="I835" s="29">
        <f>(Table1[[#This Row],[SALE PRICE]]-Table1[[#This Row],[COST PRICE]])/Table1[[#This Row],[SALE PRICE]]</f>
        <v>0.24827925270403151</v>
      </c>
      <c r="J835" s="26" t="str">
        <f>IF(Table1[[#This Row],[MARGIN]]&lt;25%, "REVIEW", "OK")</f>
        <v>REVIEW</v>
      </c>
    </row>
    <row r="836" spans="1:10" ht="15.6" x14ac:dyDescent="0.3">
      <c r="A836" s="18" t="s">
        <v>880</v>
      </c>
      <c r="B836" s="13" t="s">
        <v>881</v>
      </c>
      <c r="C836" s="13" t="s">
        <v>1427</v>
      </c>
      <c r="D836" s="11" t="s">
        <v>8</v>
      </c>
      <c r="E836" s="11" t="s">
        <v>8</v>
      </c>
      <c r="F836" s="13" t="s">
        <v>1005</v>
      </c>
      <c r="G836" s="47">
        <v>22</v>
      </c>
      <c r="H836" s="47" cm="1">
        <f t="array" ref="H836">ROUND(G836*IF(OR(MID(A836,5,3)={"BFF","PRK","FPL","LMB","FFI","MET","RIC","FLR","SUG","OIL","DRK","JCE","FEG"}),1.21,IF(OR(MID(A836,5,3)={"FVG","FFR"}),1.33,IF(OR(MID(A836,5,3)={"FBT","FCH","FMK","FYG","MLK","ICE","FRV","FPO","FRF","FCC","BRD"}),1.28,IF(OR(MID(A836,5,3)={"BIS","CRP","HRB","TUR","IND","HYG"}),1.38,1.31)))),2)</f>
        <v>29.26</v>
      </c>
      <c r="I836" s="27">
        <f>(Table1[[#This Row],[SALE PRICE]]-Table1[[#This Row],[COST PRICE]])/Table1[[#This Row],[SALE PRICE]]</f>
        <v>0.24812030075187974</v>
      </c>
      <c r="J836" s="27" t="str">
        <f>IF(Table1[[#This Row],[MARGIN]]&lt;25%, "REVIEW", "OK")</f>
        <v>REVIEW</v>
      </c>
    </row>
    <row r="837" spans="1:10" ht="15.6" x14ac:dyDescent="0.3">
      <c r="A837" s="17" t="s">
        <v>882</v>
      </c>
      <c r="B837" s="12" t="s">
        <v>883</v>
      </c>
      <c r="C837" s="12" t="s">
        <v>1446</v>
      </c>
      <c r="D837" s="10" t="s">
        <v>8</v>
      </c>
      <c r="E837" s="10" t="s">
        <v>8</v>
      </c>
      <c r="F837" s="12" t="s">
        <v>1006</v>
      </c>
      <c r="G837" s="46" t="s">
        <v>8</v>
      </c>
      <c r="H837" s="46" t="e" cm="1">
        <f t="array" ref="H837">ROUND(G837*IF(OR(MID(A837,5,3)={"BFF","PRK","FPL","LMB","FFI","MET","RIC","FLR","SUG","OIL","DRK","JCE","FEG"}),1.21,IF(OR(MID(A837,5,3)={"FVG","FFR"}),1.33,IF(OR(MID(A837,5,3)={"FBT","FCH","FMK","FYG","MLK","ICE","FRV","FPO","FRF","FCC","BRD"}),1.28,IF(OR(MID(A837,5,3)={"BIS","CRP","HRB","TUR","IND","HYG"}),1.38,1.31)))),2)</f>
        <v>#VALUE!</v>
      </c>
      <c r="I837" s="29" t="e">
        <f>(Table1[[#This Row],[SALE PRICE]]-Table1[[#This Row],[COST PRICE]])/Table1[[#This Row],[SALE PRICE]]</f>
        <v>#VALUE!</v>
      </c>
      <c r="J837" s="26" t="e">
        <f>IF(Table1[[#This Row],[MARGIN]]&lt;25%, "REVIEW", "OK")</f>
        <v>#VALUE!</v>
      </c>
    </row>
    <row r="838" spans="1:10" ht="15.6" x14ac:dyDescent="0.3">
      <c r="A838" s="18" t="s">
        <v>884</v>
      </c>
      <c r="B838" s="13" t="s">
        <v>885</v>
      </c>
      <c r="C838" s="13" t="s">
        <v>1427</v>
      </c>
      <c r="D838" s="11" t="s">
        <v>8</v>
      </c>
      <c r="E838" s="11" t="s">
        <v>8</v>
      </c>
      <c r="F838" s="13" t="s">
        <v>998</v>
      </c>
      <c r="G838" s="47">
        <v>18</v>
      </c>
      <c r="H838" s="47" cm="1">
        <f t="array" ref="H838">ROUND(G838*IF(OR(MID(A838,5,3)={"BFF","PRK","FPL","LMB","FFI","MET","RIC","FLR","SUG","OIL","DRK","JCE","FEG"}),1.21,IF(OR(MID(A838,5,3)={"FVG","FFR"}),1.33,IF(OR(MID(A838,5,3)={"FBT","FCH","FMK","FYG","MLK","ICE","FRV","FPO","FRF","FCC","BRD"}),1.28,IF(OR(MID(A838,5,3)={"BIS","CRP","HRB","TUR","IND","HYG"}),1.38,1.31)))),2)</f>
        <v>23.94</v>
      </c>
      <c r="I838" s="27">
        <f>(Table1[[#This Row],[SALE PRICE]]-Table1[[#This Row],[COST PRICE]])/Table1[[#This Row],[SALE PRICE]]</f>
        <v>0.24812030075187974</v>
      </c>
      <c r="J838" s="27" t="str">
        <f>IF(Table1[[#This Row],[MARGIN]]&lt;25%, "REVIEW", "OK")</f>
        <v>REVIEW</v>
      </c>
    </row>
    <row r="839" spans="1:10" ht="15.6" x14ac:dyDescent="0.3">
      <c r="A839" s="17" t="s">
        <v>886</v>
      </c>
      <c r="B839" s="12" t="s">
        <v>887</v>
      </c>
      <c r="C839" s="12" t="s">
        <v>1439</v>
      </c>
      <c r="D839" s="10" t="s">
        <v>8</v>
      </c>
      <c r="E839" s="10" t="s">
        <v>8</v>
      </c>
      <c r="F839" s="12" t="s">
        <v>994</v>
      </c>
      <c r="G839" s="46">
        <v>4.5999999999999996</v>
      </c>
      <c r="H839" s="46" cm="1">
        <f t="array" ref="H839">ROUND(G839*IF(OR(MID(A839,5,3)={"BFF","PRK","FPL","LMB","FFI","MET","RIC","FLR","SUG","OIL","DRK","JCE","FEG"}),1.21,IF(OR(MID(A839,5,3)={"FVG","FFR"}),1.33,IF(OR(MID(A839,5,3)={"FBT","FCH","FMK","FYG","MLK","ICE","FRV","FPO","FRF","FCC","BRD"}),1.28,IF(OR(MID(A839,5,3)={"BIS","CRP","HRB","TUR","IND","HYG"}),1.38,1.31)))),2)</f>
        <v>6.12</v>
      </c>
      <c r="I839" s="29">
        <f>(Table1[[#This Row],[SALE PRICE]]-Table1[[#This Row],[COST PRICE]])/Table1[[#This Row],[SALE PRICE]]</f>
        <v>0.24836601307189549</v>
      </c>
      <c r="J839" s="26" t="str">
        <f>IF(Table1[[#This Row],[MARGIN]]&lt;25%, "REVIEW", "OK")</f>
        <v>REVIEW</v>
      </c>
    </row>
    <row r="840" spans="1:10" ht="15.6" x14ac:dyDescent="0.3">
      <c r="A840" s="18" t="s">
        <v>888</v>
      </c>
      <c r="B840" s="13" t="s">
        <v>889</v>
      </c>
      <c r="C840" s="13" t="s">
        <v>1439</v>
      </c>
      <c r="D840" s="11" t="s">
        <v>8</v>
      </c>
      <c r="E840" s="11" t="s">
        <v>8</v>
      </c>
      <c r="F840" s="13" t="s">
        <v>994</v>
      </c>
      <c r="G840" s="47">
        <v>8</v>
      </c>
      <c r="H840" s="47" cm="1">
        <f t="array" ref="H840">ROUND(G840*IF(OR(MID(A840,5,3)={"BFF","PRK","FPL","LMB","FFI","MET","RIC","FLR","SUG","OIL","DRK","JCE","FEG"}),1.21,IF(OR(MID(A840,5,3)={"FVG","FFR"}),1.33,IF(OR(MID(A840,5,3)={"FBT","FCH","FMK","FYG","MLK","ICE","FRV","FPO","FRF","FCC","BRD"}),1.28,IF(OR(MID(A840,5,3)={"BIS","CRP","HRB","TUR","IND","HYG"}),1.38,1.31)))),2)</f>
        <v>10.64</v>
      </c>
      <c r="I840" s="27">
        <f>(Table1[[#This Row],[SALE PRICE]]-Table1[[#This Row],[COST PRICE]])/Table1[[#This Row],[SALE PRICE]]</f>
        <v>0.24812030075187974</v>
      </c>
      <c r="J840" s="27" t="str">
        <f>IF(Table1[[#This Row],[MARGIN]]&lt;25%, "REVIEW", "OK")</f>
        <v>REVIEW</v>
      </c>
    </row>
    <row r="841" spans="1:10" ht="15.6" x14ac:dyDescent="0.3">
      <c r="A841" s="17" t="s">
        <v>890</v>
      </c>
      <c r="B841" s="12" t="s">
        <v>891</v>
      </c>
      <c r="C841" s="12" t="s">
        <v>1439</v>
      </c>
      <c r="D841" s="10" t="s">
        <v>8</v>
      </c>
      <c r="E841" s="10" t="s">
        <v>8</v>
      </c>
      <c r="F841" s="12" t="s">
        <v>994</v>
      </c>
      <c r="G841" s="46">
        <v>6.99</v>
      </c>
      <c r="H841" s="46" cm="1">
        <f t="array" ref="H841">ROUND(G841*IF(OR(MID(A841,5,3)={"BFF","PRK","FPL","LMB","FFI","MET","RIC","FLR","SUG","OIL","DRK","JCE","FEG"}),1.21,IF(OR(MID(A841,5,3)={"FVG","FFR"}),1.33,IF(OR(MID(A841,5,3)={"FBT","FCH","FMK","FYG","MLK","ICE","FRV","FPO","FRF","FCC","BRD"}),1.28,IF(OR(MID(A841,5,3)={"BIS","CRP","HRB","TUR","IND","HYG"}),1.38,1.31)))),2)</f>
        <v>9.3000000000000007</v>
      </c>
      <c r="I841" s="29">
        <f>(Table1[[#This Row],[SALE PRICE]]-Table1[[#This Row],[COST PRICE]])/Table1[[#This Row],[SALE PRICE]]</f>
        <v>0.24838709677419357</v>
      </c>
      <c r="J841" s="26" t="str">
        <f>IF(Table1[[#This Row],[MARGIN]]&lt;25%, "REVIEW", "OK")</f>
        <v>REVIEW</v>
      </c>
    </row>
    <row r="842" spans="1:10" ht="15.6" x14ac:dyDescent="0.3">
      <c r="A842" s="18" t="s">
        <v>892</v>
      </c>
      <c r="B842" s="13" t="s">
        <v>893</v>
      </c>
      <c r="C842" s="13" t="s">
        <v>1429</v>
      </c>
      <c r="D842" s="11" t="s">
        <v>8</v>
      </c>
      <c r="E842" s="11" t="s">
        <v>8</v>
      </c>
      <c r="F842" s="13" t="s">
        <v>1005</v>
      </c>
      <c r="G842" s="47">
        <v>6.99</v>
      </c>
      <c r="H842" s="47" cm="1">
        <f t="array" ref="H842">ROUND(G842*IF(OR(MID(A842,5,3)={"BFF","PRK","FPL","LMB","FFI","MET","RIC","FLR","SUG","OIL","DRK","JCE","FEG"}),1.21,IF(OR(MID(A842,5,3)={"FVG","FFR"}),1.33,IF(OR(MID(A842,5,3)={"FBT","FCH","FMK","FYG","MLK","ICE","FRV","FPO","FRF","FCC","BRD"}),1.28,IF(OR(MID(A842,5,3)={"BIS","CRP","HRB","TUR","IND","HYG"}),1.38,1.31)))),2)</f>
        <v>9.3000000000000007</v>
      </c>
      <c r="I842" s="27">
        <f>(Table1[[#This Row],[SALE PRICE]]-Table1[[#This Row],[COST PRICE]])/Table1[[#This Row],[SALE PRICE]]</f>
        <v>0.24838709677419357</v>
      </c>
      <c r="J842" s="27" t="str">
        <f>IF(Table1[[#This Row],[MARGIN]]&lt;25%, "REVIEW", "OK")</f>
        <v>REVIEW</v>
      </c>
    </row>
    <row r="843" spans="1:10" ht="15.6" x14ac:dyDescent="0.3">
      <c r="A843" s="17" t="s">
        <v>894</v>
      </c>
      <c r="B843" s="12" t="s">
        <v>895</v>
      </c>
      <c r="C843" s="12" t="s">
        <v>1429</v>
      </c>
      <c r="D843" s="10" t="s">
        <v>8</v>
      </c>
      <c r="E843" s="10" t="s">
        <v>8</v>
      </c>
      <c r="F843" s="12" t="s">
        <v>1005</v>
      </c>
      <c r="G843" s="46">
        <v>3.89</v>
      </c>
      <c r="H843" s="46" cm="1">
        <f t="array" ref="H843">ROUND(G843*IF(OR(MID(A843,5,3)={"BFF","PRK","FPL","LMB","FFI","MET","RIC","FLR","SUG","OIL","DRK","JCE","FEG"}),1.21,IF(OR(MID(A843,5,3)={"FVG","FFR"}),1.33,IF(OR(MID(A843,5,3)={"FBT","FCH","FMK","FYG","MLK","ICE","FRV","FPO","FRF","FCC","BRD"}),1.28,IF(OR(MID(A843,5,3)={"BIS","CRP","HRB","TUR","IND","HYG"}),1.38,1.31)))),2)</f>
        <v>5.17</v>
      </c>
      <c r="I843" s="29">
        <f>(Table1[[#This Row],[SALE PRICE]]-Table1[[#This Row],[COST PRICE]])/Table1[[#This Row],[SALE PRICE]]</f>
        <v>0.24758220502901351</v>
      </c>
      <c r="J843" s="26" t="str">
        <f>IF(Table1[[#This Row],[MARGIN]]&lt;25%, "REVIEW", "OK")</f>
        <v>REVIEW</v>
      </c>
    </row>
    <row r="844" spans="1:10" ht="15.6" x14ac:dyDescent="0.3">
      <c r="A844" s="17" t="s">
        <v>896</v>
      </c>
      <c r="B844" s="12" t="s">
        <v>1447</v>
      </c>
      <c r="C844" s="12" t="s">
        <v>1427</v>
      </c>
      <c r="D844" s="10"/>
      <c r="E844" s="10"/>
      <c r="F844" s="12" t="s">
        <v>995</v>
      </c>
      <c r="G844" s="46">
        <v>11.4</v>
      </c>
      <c r="H844" s="47" cm="1">
        <f t="array" ref="H844">ROUND(G844*IF(OR(MID(A844,5,3)={"BFF","PRK","FPL","LMB","FFI","MET","RIC","FLR","SUG","OIL","DRK","JCE","FEG"}),1.21,IF(OR(MID(A844,5,3)={"FVG","FFR"}),1.33,IF(OR(MID(A844,5,3)={"FBT","FCH","FMK","FYG","MLK","ICE","FRV","FPO","FRF","FCC","BRD"}),1.28,IF(OR(MID(A844,5,3)={"BIS","CRP","HRB","TUR","IND","HYG"}),1.38,1.31)))),2)</f>
        <v>15.16</v>
      </c>
      <c r="I844" s="27">
        <f>(Table1[[#This Row],[SALE PRICE]]-Table1[[#This Row],[COST PRICE]])/Table1[[#This Row],[SALE PRICE]]</f>
        <v>0.2480211081794195</v>
      </c>
      <c r="J844" s="27" t="str">
        <f>IF(Table1[[#This Row],[MARGIN]]&lt;25%, "REVIEW", "OK")</f>
        <v>REVIEW</v>
      </c>
    </row>
    <row r="845" spans="1:10" ht="15.6" x14ac:dyDescent="0.3">
      <c r="A845" s="18" t="s">
        <v>896</v>
      </c>
      <c r="B845" s="13" t="s">
        <v>897</v>
      </c>
      <c r="C845" s="13" t="s">
        <v>1427</v>
      </c>
      <c r="D845" s="11" t="s">
        <v>8</v>
      </c>
      <c r="E845" s="11" t="s">
        <v>8</v>
      </c>
      <c r="F845" s="13" t="s">
        <v>1007</v>
      </c>
      <c r="G845" s="47">
        <v>11.4</v>
      </c>
      <c r="H845" s="46" cm="1">
        <f t="array" ref="H845">ROUND(G845*IF(OR(MID(A845,5,3)={"BFF","PRK","FPL","LMB","FFI","MET","RIC","FLR","SUG","OIL","DRK","JCE","FEG"}),1.21,IF(OR(MID(A845,5,3)={"FVG","FFR"}),1.33,IF(OR(MID(A845,5,3)={"FBT","FCH","FMK","FYG","MLK","ICE","FRV","FPO","FRF","FCC","BRD"}),1.28,IF(OR(MID(A845,5,3)={"BIS","CRP","HRB","TUR","IND","HYG"}),1.38,1.31)))),2)</f>
        <v>15.16</v>
      </c>
      <c r="I845" s="29">
        <f>(Table1[[#This Row],[SALE PRICE]]-Table1[[#This Row],[COST PRICE]])/Table1[[#This Row],[SALE PRICE]]</f>
        <v>0.2480211081794195</v>
      </c>
      <c r="J845" s="26" t="str">
        <f>IF(Table1[[#This Row],[MARGIN]]&lt;25%, "REVIEW", "OK")</f>
        <v>REVIEW</v>
      </c>
    </row>
    <row r="846" spans="1:10" ht="15.6" x14ac:dyDescent="0.3">
      <c r="A846" s="17" t="s">
        <v>898</v>
      </c>
      <c r="B846" s="12" t="s">
        <v>899</v>
      </c>
      <c r="C846" s="12" t="s">
        <v>1427</v>
      </c>
      <c r="D846" s="10" t="s">
        <v>8</v>
      </c>
      <c r="E846" s="10" t="s">
        <v>8</v>
      </c>
      <c r="F846" s="12" t="s">
        <v>1008</v>
      </c>
      <c r="G846" s="46">
        <v>14</v>
      </c>
      <c r="H846" s="47" cm="1">
        <f t="array" ref="H846">ROUND(G846*IF(OR(MID(A846,5,3)={"BFF","PRK","FPL","LMB","FFI","MET","RIC","FLR","SUG","OIL","DRK","JCE","FEG"}),1.21,IF(OR(MID(A846,5,3)={"FVG","FFR"}),1.33,IF(OR(MID(A846,5,3)={"FBT","FCH","FMK","FYG","MLK","ICE","FRV","FPO","FRF","FCC","BRD"}),1.28,IF(OR(MID(A846,5,3)={"BIS","CRP","HRB","TUR","IND","HYG"}),1.38,1.31)))),2)</f>
        <v>18.62</v>
      </c>
      <c r="I846" s="27">
        <f>(Table1[[#This Row],[SALE PRICE]]-Table1[[#This Row],[COST PRICE]])/Table1[[#This Row],[SALE PRICE]]</f>
        <v>0.24812030075187974</v>
      </c>
      <c r="J846" s="27" t="str">
        <f>IF(Table1[[#This Row],[MARGIN]]&lt;25%, "REVIEW", "OK")</f>
        <v>REVIEW</v>
      </c>
    </row>
    <row r="847" spans="1:10" ht="15.6" x14ac:dyDescent="0.3">
      <c r="A847" s="18" t="s">
        <v>900</v>
      </c>
      <c r="B847" s="13" t="s">
        <v>901</v>
      </c>
      <c r="C847" s="13" t="s">
        <v>1427</v>
      </c>
      <c r="D847" s="11" t="s">
        <v>8</v>
      </c>
      <c r="E847" s="11" t="s">
        <v>8</v>
      </c>
      <c r="F847" s="13" t="s">
        <v>1008</v>
      </c>
      <c r="G847" s="47">
        <v>22</v>
      </c>
      <c r="H847" s="46" cm="1">
        <f t="array" ref="H847">ROUND(G847*IF(OR(MID(A847,5,3)={"BFF","PRK","FPL","LMB","FFI","MET","RIC","FLR","SUG","OIL","DRK","JCE","FEG"}),1.21,IF(OR(MID(A847,5,3)={"FVG","FFR"}),1.33,IF(OR(MID(A847,5,3)={"FBT","FCH","FMK","FYG","MLK","ICE","FRV","FPO","FRF","FCC","BRD"}),1.28,IF(OR(MID(A847,5,3)={"BIS","CRP","HRB","TUR","IND","HYG"}),1.38,1.31)))),2)</f>
        <v>29.26</v>
      </c>
      <c r="I847" s="29">
        <f>(Table1[[#This Row],[SALE PRICE]]-Table1[[#This Row],[COST PRICE]])/Table1[[#This Row],[SALE PRICE]]</f>
        <v>0.24812030075187974</v>
      </c>
      <c r="J847" s="26" t="str">
        <f>IF(Table1[[#This Row],[MARGIN]]&lt;25%, "REVIEW", "OK")</f>
        <v>REVIEW</v>
      </c>
    </row>
    <row r="848" spans="1:10" ht="15.6" x14ac:dyDescent="0.3">
      <c r="A848" s="17" t="s">
        <v>902</v>
      </c>
      <c r="B848" s="12" t="s">
        <v>903</v>
      </c>
      <c r="C848" s="12" t="s">
        <v>1429</v>
      </c>
      <c r="D848" s="10" t="s">
        <v>8</v>
      </c>
      <c r="E848" s="10" t="s">
        <v>8</v>
      </c>
      <c r="F848" s="12" t="s">
        <v>1005</v>
      </c>
      <c r="G848" s="46">
        <v>5.49</v>
      </c>
      <c r="H848" s="47" cm="1">
        <f t="array" ref="H848">ROUND(G848*IF(OR(MID(A848,5,3)={"BFF","PRK","FPL","LMB","FFI","MET","RIC","FLR","SUG","OIL","DRK","JCE","FEG"}),1.21,IF(OR(MID(A848,5,3)={"FVG","FFR"}),1.33,IF(OR(MID(A848,5,3)={"FBT","FCH","FMK","FYG","MLK","ICE","FRV","FPO","FRF","FCC","BRD"}),1.28,IF(OR(MID(A848,5,3)={"BIS","CRP","HRB","TUR","IND","HYG"}),1.38,1.31)))),2)</f>
        <v>7.3</v>
      </c>
      <c r="I848" s="27">
        <f>(Table1[[#This Row],[SALE PRICE]]-Table1[[#This Row],[COST PRICE]])/Table1[[#This Row],[SALE PRICE]]</f>
        <v>0.24794520547945201</v>
      </c>
      <c r="J848" s="27" t="str">
        <f>IF(Table1[[#This Row],[MARGIN]]&lt;25%, "REVIEW", "OK")</f>
        <v>REVIEW</v>
      </c>
    </row>
    <row r="849" spans="1:10" ht="15.6" x14ac:dyDescent="0.3">
      <c r="A849" s="18" t="s">
        <v>904</v>
      </c>
      <c r="B849" s="13" t="s">
        <v>905</v>
      </c>
      <c r="C849" s="13" t="s">
        <v>1427</v>
      </c>
      <c r="D849" s="11" t="s">
        <v>8</v>
      </c>
      <c r="E849" s="11" t="s">
        <v>8</v>
      </c>
      <c r="F849" s="13" t="s">
        <v>995</v>
      </c>
      <c r="G849" s="47">
        <v>22</v>
      </c>
      <c r="H849" s="46" cm="1">
        <f t="array" ref="H849">ROUND(G849*IF(OR(MID(A849,5,3)={"BFF","PRK","FPL","LMB","FFI","MET","RIC","FLR","SUG","OIL","DRK","JCE","FEG"}),1.21,IF(OR(MID(A849,5,3)={"FVG","FFR"}),1.33,IF(OR(MID(A849,5,3)={"FBT","FCH","FMK","FYG","MLK","ICE","FRV","FPO","FRF","FCC","BRD"}),1.28,IF(OR(MID(A849,5,3)={"BIS","CRP","HRB","TUR","IND","HYG"}),1.38,1.31)))),2)</f>
        <v>29.26</v>
      </c>
      <c r="I849" s="29">
        <f>(Table1[[#This Row],[SALE PRICE]]-Table1[[#This Row],[COST PRICE]])/Table1[[#This Row],[SALE PRICE]]</f>
        <v>0.24812030075187974</v>
      </c>
      <c r="J849" s="26" t="str">
        <f>IF(Table1[[#This Row],[MARGIN]]&lt;25%, "REVIEW", "OK")</f>
        <v>REVIEW</v>
      </c>
    </row>
    <row r="850" spans="1:10" ht="15.6" x14ac:dyDescent="0.3">
      <c r="A850" s="17" t="s">
        <v>906</v>
      </c>
      <c r="B850" s="12" t="s">
        <v>1448</v>
      </c>
      <c r="C850" s="12" t="s">
        <v>1444</v>
      </c>
      <c r="D850" s="10" t="s">
        <v>8</v>
      </c>
      <c r="E850" s="10" t="s">
        <v>8</v>
      </c>
      <c r="F850" s="12" t="s">
        <v>997</v>
      </c>
      <c r="G850" s="46">
        <v>1.55</v>
      </c>
      <c r="H850" s="47" cm="1">
        <f t="array" ref="H850">ROUND(G850*IF(OR(MID(A850,5,3)={"BFF","PRK","FPL","LMB","FFI","MET","RIC","FLR","SUG","OIL","DRK","JCE","FEG"}),1.21,IF(OR(MID(A850,5,3)={"FVG","FFR"}),1.33,IF(OR(MID(A850,5,3)={"FBT","FCH","FMK","FYG","MLK","ICE","FRV","FPO","FRF","FCC","BRD"}),1.28,IF(OR(MID(A850,5,3)={"BIS","CRP","HRB","TUR","IND","HYG"}),1.38,1.31)))),2)</f>
        <v>2.06</v>
      </c>
      <c r="I850" s="27">
        <f>(Table1[[#This Row],[SALE PRICE]]-Table1[[#This Row],[COST PRICE]])/Table1[[#This Row],[SALE PRICE]]</f>
        <v>0.24757281553398058</v>
      </c>
      <c r="J850" s="27" t="str">
        <f>IF(Table1[[#This Row],[MARGIN]]&lt;25%, "REVIEW", "OK")</f>
        <v>REVIEW</v>
      </c>
    </row>
    <row r="851" spans="1:10" ht="15.6" x14ac:dyDescent="0.3">
      <c r="A851" s="18" t="s">
        <v>907</v>
      </c>
      <c r="B851" s="13" t="s">
        <v>908</v>
      </c>
      <c r="C851" s="13" t="s">
        <v>1427</v>
      </c>
      <c r="D851" s="11" t="s">
        <v>8</v>
      </c>
      <c r="E851" s="11" t="s">
        <v>8</v>
      </c>
      <c r="F851" s="13" t="s">
        <v>1009</v>
      </c>
      <c r="G851" s="47">
        <v>8.3000000000000007</v>
      </c>
      <c r="H851" s="46" cm="1">
        <f t="array" ref="H851">ROUND(G851*IF(OR(MID(A851,5,3)={"BFF","PRK","FPL","LMB","FFI","MET","RIC","FLR","SUG","OIL","DRK","JCE","FEG"}),1.21,IF(OR(MID(A851,5,3)={"FVG","FFR"}),1.33,IF(OR(MID(A851,5,3)={"FBT","FCH","FMK","FYG","MLK","ICE","FRV","FPO","FRF","FCC","BRD"}),1.28,IF(OR(MID(A851,5,3)={"BIS","CRP","HRB","TUR","IND","HYG"}),1.38,1.31)))),2)</f>
        <v>11.04</v>
      </c>
      <c r="I851" s="29">
        <f>(Table1[[#This Row],[SALE PRICE]]-Table1[[#This Row],[COST PRICE]])/Table1[[#This Row],[SALE PRICE]]</f>
        <v>0.24818840579710133</v>
      </c>
      <c r="J851" s="26" t="str">
        <f>IF(Table1[[#This Row],[MARGIN]]&lt;25%, "REVIEW", "OK")</f>
        <v>REVIEW</v>
      </c>
    </row>
    <row r="852" spans="1:10" ht="15.6" x14ac:dyDescent="0.3">
      <c r="A852" s="17" t="s">
        <v>909</v>
      </c>
      <c r="B852" s="12" t="s">
        <v>910</v>
      </c>
      <c r="C852" s="12" t="s">
        <v>1427</v>
      </c>
      <c r="D852" s="10" t="s">
        <v>8</v>
      </c>
      <c r="E852" s="10" t="s">
        <v>8</v>
      </c>
      <c r="F852" s="12" t="s">
        <v>1010</v>
      </c>
      <c r="G852" s="46">
        <v>36</v>
      </c>
      <c r="H852" s="47" cm="1">
        <f t="array" ref="H852">ROUND(G852*IF(OR(MID(A852,5,3)={"BFF","PRK","FPL","LMB","FFI","MET","RIC","FLR","SUG","OIL","DRK","JCE","FEG"}),1.21,IF(OR(MID(A852,5,3)={"FVG","FFR"}),1.33,IF(OR(MID(A852,5,3)={"FBT","FCH","FMK","FYG","MLK","ICE","FRV","FPO","FRF","FCC","BRD"}),1.28,IF(OR(MID(A852,5,3)={"BIS","CRP","HRB","TUR","IND","HYG"}),1.38,1.31)))),2)</f>
        <v>47.88</v>
      </c>
      <c r="I852" s="27">
        <f>(Table1[[#This Row],[SALE PRICE]]-Table1[[#This Row],[COST PRICE]])/Table1[[#This Row],[SALE PRICE]]</f>
        <v>0.24812030075187974</v>
      </c>
      <c r="J852" s="27" t="str">
        <f>IF(Table1[[#This Row],[MARGIN]]&lt;25%, "REVIEW", "OK")</f>
        <v>REVIEW</v>
      </c>
    </row>
    <row r="853" spans="1:10" ht="15.6" x14ac:dyDescent="0.3">
      <c r="A853" s="18" t="s">
        <v>911</v>
      </c>
      <c r="B853" s="13" t="s">
        <v>912</v>
      </c>
      <c r="C853" s="13" t="s">
        <v>1429</v>
      </c>
      <c r="D853" s="11" t="s">
        <v>8</v>
      </c>
      <c r="E853" s="11" t="s">
        <v>8</v>
      </c>
      <c r="F853" s="13" t="s">
        <v>1010</v>
      </c>
      <c r="G853" s="47">
        <v>8.49</v>
      </c>
      <c r="H853" s="46" cm="1">
        <f t="array" ref="H853">ROUND(G853*IF(OR(MID(A853,5,3)={"BFF","PRK","FPL","LMB","FFI","MET","RIC","FLR","SUG","OIL","DRK","JCE","FEG"}),1.21,IF(OR(MID(A853,5,3)={"FVG","FFR"}),1.33,IF(OR(MID(A853,5,3)={"FBT","FCH","FMK","FYG","MLK","ICE","FRV","FPO","FRF","FCC","BRD"}),1.28,IF(OR(MID(A853,5,3)={"BIS","CRP","HRB","TUR","IND","HYG"}),1.38,1.31)))),2)</f>
        <v>11.29</v>
      </c>
      <c r="I853" s="29">
        <f>(Table1[[#This Row],[SALE PRICE]]-Table1[[#This Row],[COST PRICE]])/Table1[[#This Row],[SALE PRICE]]</f>
        <v>0.24800708591674039</v>
      </c>
      <c r="J853" s="26" t="str">
        <f>IF(Table1[[#This Row],[MARGIN]]&lt;25%, "REVIEW", "OK")</f>
        <v>REVIEW</v>
      </c>
    </row>
    <row r="854" spans="1:10" ht="15.6" x14ac:dyDescent="0.3">
      <c r="A854" s="17" t="s">
        <v>913</v>
      </c>
      <c r="B854" s="12" t="s">
        <v>914</v>
      </c>
      <c r="C854" s="12" t="s">
        <v>1429</v>
      </c>
      <c r="D854" s="10" t="s">
        <v>8</v>
      </c>
      <c r="E854" s="10" t="s">
        <v>8</v>
      </c>
      <c r="F854" s="12" t="s">
        <v>995</v>
      </c>
      <c r="G854" s="46">
        <v>7.49</v>
      </c>
      <c r="H854" s="47" cm="1">
        <f t="array" ref="H854">ROUND(G854*IF(OR(MID(A854,5,3)={"BFF","PRK","FPL","LMB","FFI","MET","RIC","FLR","SUG","OIL","DRK","JCE","FEG"}),1.21,IF(OR(MID(A854,5,3)={"FVG","FFR"}),1.33,IF(OR(MID(A854,5,3)={"FBT","FCH","FMK","FYG","MLK","ICE","FRV","FPO","FRF","FCC","BRD"}),1.28,IF(OR(MID(A854,5,3)={"BIS","CRP","HRB","TUR","IND","HYG"}),1.38,1.31)))),2)</f>
        <v>9.9600000000000009</v>
      </c>
      <c r="I854" s="27">
        <f>(Table1[[#This Row],[SALE PRICE]]-Table1[[#This Row],[COST PRICE]])/Table1[[#This Row],[SALE PRICE]]</f>
        <v>0.24799196787148597</v>
      </c>
      <c r="J854" s="27" t="str">
        <f>IF(Table1[[#This Row],[MARGIN]]&lt;25%, "REVIEW", "OK")</f>
        <v>REVIEW</v>
      </c>
    </row>
    <row r="855" spans="1:10" ht="15.6" x14ac:dyDescent="0.3">
      <c r="A855" s="18" t="s">
        <v>915</v>
      </c>
      <c r="B855" s="13" t="s">
        <v>1449</v>
      </c>
      <c r="C855" s="13" t="s">
        <v>1444</v>
      </c>
      <c r="D855" s="11" t="s">
        <v>8</v>
      </c>
      <c r="E855" s="11" t="s">
        <v>8</v>
      </c>
      <c r="F855" s="13" t="s">
        <v>1011</v>
      </c>
      <c r="G855" s="47">
        <v>1.75</v>
      </c>
      <c r="H855" s="46" cm="1">
        <f t="array" ref="H855">ROUND(G855*IF(OR(MID(A855,5,3)={"BFF","PRK","FPL","LMB","FFI","MET","RIC","FLR","SUG","OIL","DRK","JCE","FEG"}),1.21,IF(OR(MID(A855,5,3)={"FVG","FFR"}),1.33,IF(OR(MID(A855,5,3)={"FBT","FCH","FMK","FYG","MLK","ICE","FRV","FPO","FRF","FCC","BRD"}),1.28,IF(OR(MID(A855,5,3)={"BIS","CRP","HRB","TUR","IND","HYG"}),1.38,1.31)))),2)</f>
        <v>2.33</v>
      </c>
      <c r="I855" s="29">
        <f>(Table1[[#This Row],[SALE PRICE]]-Table1[[#This Row],[COST PRICE]])/Table1[[#This Row],[SALE PRICE]]</f>
        <v>0.24892703862660948</v>
      </c>
      <c r="J855" s="26" t="str">
        <f>IF(Table1[[#This Row],[MARGIN]]&lt;25%, "REVIEW", "OK")</f>
        <v>REVIEW</v>
      </c>
    </row>
    <row r="856" spans="1:10" ht="15.6" x14ac:dyDescent="0.3">
      <c r="A856" s="17" t="s">
        <v>916</v>
      </c>
      <c r="B856" s="12" t="s">
        <v>1060</v>
      </c>
      <c r="C856" s="12" t="s">
        <v>1429</v>
      </c>
      <c r="D856" s="10" t="s">
        <v>8</v>
      </c>
      <c r="E856" s="10" t="s">
        <v>8</v>
      </c>
      <c r="F856" s="12" t="s">
        <v>1010</v>
      </c>
      <c r="G856" s="46">
        <v>11.99</v>
      </c>
      <c r="H856" s="47" cm="1">
        <f t="array" ref="H856">ROUND(G856*IF(OR(MID(A856,5,3)={"BFF","PRK","FPL","LMB","FFI","MET","RIC","FLR","SUG","OIL","DRK","JCE","FEG"}),1.21,IF(OR(MID(A856,5,3)={"FVG","FFR"}),1.33,IF(OR(MID(A856,5,3)={"FBT","FCH","FMK","FYG","MLK","ICE","FRV","FPO","FRF","FCC","BRD"}),1.28,IF(OR(MID(A856,5,3)={"BIS","CRP","HRB","TUR","IND","HYG"}),1.38,1.31)))),2)</f>
        <v>15.95</v>
      </c>
      <c r="I856" s="27">
        <f>(Table1[[#This Row],[SALE PRICE]]-Table1[[#This Row],[COST PRICE]])/Table1[[#This Row],[SALE PRICE]]</f>
        <v>0.24827586206896546</v>
      </c>
      <c r="J856" s="27" t="str">
        <f>IF(Table1[[#This Row],[MARGIN]]&lt;25%, "REVIEW", "OK")</f>
        <v>REVIEW</v>
      </c>
    </row>
    <row r="857" spans="1:10" ht="15.6" x14ac:dyDescent="0.3">
      <c r="A857" s="18" t="s">
        <v>917</v>
      </c>
      <c r="B857" s="13" t="s">
        <v>1061</v>
      </c>
      <c r="C857" s="13" t="s">
        <v>1429</v>
      </c>
      <c r="D857" s="11" t="s">
        <v>8</v>
      </c>
      <c r="E857" s="11" t="s">
        <v>8</v>
      </c>
      <c r="F857" s="13" t="s">
        <v>1062</v>
      </c>
      <c r="G857" s="47">
        <v>11.99</v>
      </c>
      <c r="H857" s="46" cm="1">
        <f t="array" ref="H857">ROUND(G857*IF(OR(MID(A857,5,3)={"BFF","PRK","FPL","LMB","FFI","MET","RIC","FLR","SUG","OIL","DRK","JCE","FEG"}),1.21,IF(OR(MID(A857,5,3)={"FVG","FFR"}),1.33,IF(OR(MID(A857,5,3)={"FBT","FCH","FMK","FYG","MLK","ICE","FRV","FPO","FRF","FCC","BRD"}),1.28,IF(OR(MID(A857,5,3)={"BIS","CRP","HRB","TUR","IND","HYG"}),1.38,1.31)))),2)</f>
        <v>15.95</v>
      </c>
      <c r="I857" s="29">
        <f>(Table1[[#This Row],[SALE PRICE]]-Table1[[#This Row],[COST PRICE]])/Table1[[#This Row],[SALE PRICE]]</f>
        <v>0.24827586206896546</v>
      </c>
      <c r="J857" s="26" t="str">
        <f>IF(Table1[[#This Row],[MARGIN]]&lt;25%, "REVIEW", "OK")</f>
        <v>REVIEW</v>
      </c>
    </row>
    <row r="858" spans="1:10" ht="15.6" x14ac:dyDescent="0.3">
      <c r="A858" s="17" t="s">
        <v>918</v>
      </c>
      <c r="B858" s="12" t="s">
        <v>1063</v>
      </c>
      <c r="C858" s="12" t="s">
        <v>1429</v>
      </c>
      <c r="D858" s="10" t="s">
        <v>8</v>
      </c>
      <c r="E858" s="10" t="s">
        <v>8</v>
      </c>
      <c r="F858" s="12" t="s">
        <v>1005</v>
      </c>
      <c r="G858" s="46">
        <v>3.49</v>
      </c>
      <c r="H858" s="47" cm="1">
        <f t="array" ref="H858">ROUND(G858*IF(OR(MID(A858,5,3)={"BFF","PRK","FPL","LMB","FFI","MET","RIC","FLR","SUG","OIL","DRK","JCE","FEG"}),1.21,IF(OR(MID(A858,5,3)={"FVG","FFR"}),1.33,IF(OR(MID(A858,5,3)={"FBT","FCH","FMK","FYG","MLK","ICE","FRV","FPO","FRF","FCC","BRD"}),1.28,IF(OR(MID(A858,5,3)={"BIS","CRP","HRB","TUR","IND","HYG"}),1.38,1.31)))),2)</f>
        <v>4.6399999999999997</v>
      </c>
      <c r="I858" s="27">
        <f>(Table1[[#This Row],[SALE PRICE]]-Table1[[#This Row],[COST PRICE]])/Table1[[#This Row],[SALE PRICE]]</f>
        <v>0.2478448275862068</v>
      </c>
      <c r="J858" s="27" t="str">
        <f>IF(Table1[[#This Row],[MARGIN]]&lt;25%, "REVIEW", "OK")</f>
        <v>REVIEW</v>
      </c>
    </row>
    <row r="859" spans="1:10" ht="15.6" x14ac:dyDescent="0.3">
      <c r="A859" s="18" t="s">
        <v>919</v>
      </c>
      <c r="B859" s="13" t="s">
        <v>920</v>
      </c>
      <c r="C859" s="13" t="s">
        <v>1427</v>
      </c>
      <c r="D859" s="11" t="s">
        <v>8</v>
      </c>
      <c r="E859" s="11" t="s">
        <v>8</v>
      </c>
      <c r="F859" s="13" t="s">
        <v>1005</v>
      </c>
      <c r="G859" s="47">
        <v>9</v>
      </c>
      <c r="H859" s="46" cm="1">
        <f t="array" ref="H859">ROUND(G859*IF(OR(MID(A859,5,3)={"BFF","PRK","FPL","LMB","FFI","MET","RIC","FLR","SUG","OIL","DRK","JCE","FEG"}),1.21,IF(OR(MID(A859,5,3)={"FVG","FFR"}),1.33,IF(OR(MID(A859,5,3)={"FBT","FCH","FMK","FYG","MLK","ICE","FRV","FPO","FRF","FCC","BRD"}),1.28,IF(OR(MID(A859,5,3)={"BIS","CRP","HRB","TUR","IND","HYG"}),1.38,1.31)))),2)</f>
        <v>11.97</v>
      </c>
      <c r="I859" s="29">
        <f>(Table1[[#This Row],[SALE PRICE]]-Table1[[#This Row],[COST PRICE]])/Table1[[#This Row],[SALE PRICE]]</f>
        <v>0.24812030075187974</v>
      </c>
      <c r="J859" s="26" t="str">
        <f>IF(Table1[[#This Row],[MARGIN]]&lt;25%, "REVIEW", "OK")</f>
        <v>REVIEW</v>
      </c>
    </row>
    <row r="860" spans="1:10" ht="15.6" x14ac:dyDescent="0.3">
      <c r="A860" s="17" t="s">
        <v>921</v>
      </c>
      <c r="B860" s="12" t="s">
        <v>922</v>
      </c>
      <c r="C860" s="12" t="s">
        <v>1427</v>
      </c>
      <c r="D860" s="10" t="s">
        <v>8</v>
      </c>
      <c r="E860" s="10" t="s">
        <v>8</v>
      </c>
      <c r="F860" s="12" t="s">
        <v>1010</v>
      </c>
      <c r="G860" s="46">
        <v>2.2000000000000002</v>
      </c>
      <c r="H860" s="47" cm="1">
        <f t="array" ref="H860">ROUND(G860*IF(OR(MID(A860,5,3)={"BFF","PRK","FPL","LMB","FFI","MET","RIC","FLR","SUG","OIL","DRK","JCE","FEG"}),1.21,IF(OR(MID(A860,5,3)={"FVG","FFR"}),1.33,IF(OR(MID(A860,5,3)={"FBT","FCH","FMK","FYG","MLK","ICE","FRV","FPO","FRF","FCC","BRD"}),1.28,IF(OR(MID(A860,5,3)={"BIS","CRP","HRB","TUR","IND","HYG"}),1.38,1.31)))),2)</f>
        <v>2.93</v>
      </c>
      <c r="I860" s="27">
        <f>(Table1[[#This Row],[SALE PRICE]]-Table1[[#This Row],[COST PRICE]])/Table1[[#This Row],[SALE PRICE]]</f>
        <v>0.24914675767918087</v>
      </c>
      <c r="J860" s="27" t="str">
        <f>IF(Table1[[#This Row],[MARGIN]]&lt;25%, "REVIEW", "OK")</f>
        <v>REVIEW</v>
      </c>
    </row>
    <row r="861" spans="1:10" ht="15.6" x14ac:dyDescent="0.3">
      <c r="A861" s="18" t="s">
        <v>923</v>
      </c>
      <c r="B861" s="13" t="s">
        <v>924</v>
      </c>
      <c r="C861" s="13" t="s">
        <v>1439</v>
      </c>
      <c r="D861" s="11" t="s">
        <v>8</v>
      </c>
      <c r="E861" s="11" t="s">
        <v>8</v>
      </c>
      <c r="F861" s="13" t="s">
        <v>994</v>
      </c>
      <c r="G861" s="47">
        <v>8</v>
      </c>
      <c r="H861" s="46" cm="1">
        <f t="array" ref="H861">ROUND(G861*IF(OR(MID(A861,5,3)={"BFF","PRK","FPL","LMB","FFI","MET","RIC","FLR","SUG","OIL","DRK","JCE","FEG"}),1.21,IF(OR(MID(A861,5,3)={"FVG","FFR"}),1.33,IF(OR(MID(A861,5,3)={"FBT","FCH","FMK","FYG","MLK","ICE","FRV","FPO","FRF","FCC","BRD"}),1.28,IF(OR(MID(A861,5,3)={"BIS","CRP","HRB","TUR","IND","HYG"}),1.38,1.31)))),2)</f>
        <v>10.64</v>
      </c>
      <c r="I861" s="29">
        <f>(Table1[[#This Row],[SALE PRICE]]-Table1[[#This Row],[COST PRICE]])/Table1[[#This Row],[SALE PRICE]]</f>
        <v>0.24812030075187974</v>
      </c>
      <c r="J861" s="26" t="str">
        <f>IF(Table1[[#This Row],[MARGIN]]&lt;25%, "REVIEW", "OK")</f>
        <v>REVIEW</v>
      </c>
    </row>
    <row r="862" spans="1:10" ht="15.6" x14ac:dyDescent="0.3">
      <c r="A862" s="17" t="s">
        <v>925</v>
      </c>
      <c r="B862" s="12" t="s">
        <v>926</v>
      </c>
      <c r="C862" s="12" t="s">
        <v>1444</v>
      </c>
      <c r="D862" s="10" t="s">
        <v>8</v>
      </c>
      <c r="E862" s="10" t="s">
        <v>8</v>
      </c>
      <c r="F862" s="12" t="s">
        <v>997</v>
      </c>
      <c r="G862" s="46">
        <v>1.3</v>
      </c>
      <c r="H862" s="47" cm="1">
        <f t="array" ref="H862">ROUND(G862*IF(OR(MID(A862,5,3)={"BFF","PRK","FPL","LMB","FFI","MET","RIC","FLR","SUG","OIL","DRK","JCE","FEG"}),1.21,IF(OR(MID(A862,5,3)={"FVG","FFR"}),1.33,IF(OR(MID(A862,5,3)={"FBT","FCH","FMK","FYG","MLK","ICE","FRV","FPO","FRF","FCC","BRD"}),1.28,IF(OR(MID(A862,5,3)={"BIS","CRP","HRB","TUR","IND","HYG"}),1.38,1.31)))),2)</f>
        <v>1.73</v>
      </c>
      <c r="I862" s="27">
        <f>(Table1[[#This Row],[SALE PRICE]]-Table1[[#This Row],[COST PRICE]])/Table1[[#This Row],[SALE PRICE]]</f>
        <v>0.24855491329479765</v>
      </c>
      <c r="J862" s="27" t="str">
        <f>IF(Table1[[#This Row],[MARGIN]]&lt;25%, "REVIEW", "OK")</f>
        <v>REVIEW</v>
      </c>
    </row>
    <row r="863" spans="1:10" ht="15.6" x14ac:dyDescent="0.3">
      <c r="A863" s="18" t="s">
        <v>927</v>
      </c>
      <c r="B863" s="13" t="s">
        <v>928</v>
      </c>
      <c r="C863" s="13" t="s">
        <v>1444</v>
      </c>
      <c r="D863" s="11" t="s">
        <v>8</v>
      </c>
      <c r="E863" s="11" t="s">
        <v>8</v>
      </c>
      <c r="F863" s="13" t="s">
        <v>997</v>
      </c>
      <c r="G863" s="47">
        <v>1.3</v>
      </c>
      <c r="H863" s="46" cm="1">
        <f t="array" ref="H863">ROUND(G863*IF(OR(MID(A863,5,3)={"BFF","PRK","FPL","LMB","FFI","MET","RIC","FLR","SUG","OIL","DRK","JCE","FEG"}),1.21,IF(OR(MID(A863,5,3)={"FVG","FFR"}),1.33,IF(OR(MID(A863,5,3)={"FBT","FCH","FMK","FYG","MLK","ICE","FRV","FPO","FRF","FCC","BRD"}),1.28,IF(OR(MID(A863,5,3)={"BIS","CRP","HRB","TUR","IND","HYG"}),1.38,1.31)))),2)</f>
        <v>1.73</v>
      </c>
      <c r="I863" s="29">
        <f>(Table1[[#This Row],[SALE PRICE]]-Table1[[#This Row],[COST PRICE]])/Table1[[#This Row],[SALE PRICE]]</f>
        <v>0.24855491329479765</v>
      </c>
      <c r="J863" s="26" t="str">
        <f>IF(Table1[[#This Row],[MARGIN]]&lt;25%, "REVIEW", "OK")</f>
        <v>REVIEW</v>
      </c>
    </row>
    <row r="864" spans="1:10" ht="15.6" x14ac:dyDescent="0.3">
      <c r="A864" s="17" t="s">
        <v>929</v>
      </c>
      <c r="B864" s="12" t="s">
        <v>930</v>
      </c>
      <c r="C864" s="12" t="s">
        <v>1439</v>
      </c>
      <c r="D864" s="10" t="s">
        <v>8</v>
      </c>
      <c r="E864" s="10" t="s">
        <v>8</v>
      </c>
      <c r="F864" s="12" t="s">
        <v>994</v>
      </c>
      <c r="G864" s="46">
        <v>3.2</v>
      </c>
      <c r="H864" s="47" cm="1">
        <f t="array" ref="H864">ROUND(G864*IF(OR(MID(A864,5,3)={"BFF","PRK","FPL","LMB","FFI","MET","RIC","FLR","SUG","OIL","DRK","JCE","FEG"}),1.21,IF(OR(MID(A864,5,3)={"FVG","FFR"}),1.33,IF(OR(MID(A864,5,3)={"FBT","FCH","FMK","FYG","MLK","ICE","FRV","FPO","FRF","FCC","BRD"}),1.28,IF(OR(MID(A864,5,3)={"BIS","CRP","HRB","TUR","IND","HYG"}),1.38,1.31)))),2)</f>
        <v>4.26</v>
      </c>
      <c r="I864" s="27">
        <f>(Table1[[#This Row],[SALE PRICE]]-Table1[[#This Row],[COST PRICE]])/Table1[[#This Row],[SALE PRICE]]</f>
        <v>0.24882629107981213</v>
      </c>
      <c r="J864" s="27" t="str">
        <f>IF(Table1[[#This Row],[MARGIN]]&lt;25%, "REVIEW", "OK")</f>
        <v>REVIEW</v>
      </c>
    </row>
    <row r="865" spans="1:10" ht="15.6" x14ac:dyDescent="0.3">
      <c r="A865" s="18" t="s">
        <v>931</v>
      </c>
      <c r="B865" s="13" t="s">
        <v>932</v>
      </c>
      <c r="C865" s="13" t="s">
        <v>1427</v>
      </c>
      <c r="D865" s="11" t="s">
        <v>8</v>
      </c>
      <c r="E865" s="11" t="s">
        <v>8</v>
      </c>
      <c r="F865" s="13" t="s">
        <v>1012</v>
      </c>
      <c r="G865" s="47">
        <v>18</v>
      </c>
      <c r="H865" s="46" cm="1">
        <f t="array" ref="H865">ROUND(G865*IF(OR(MID(A865,5,3)={"BFF","PRK","FPL","LMB","FFI","MET","RIC","FLR","SUG","OIL","DRK","JCE","FEG"}),1.21,IF(OR(MID(A865,5,3)={"FVG","FFR"}),1.33,IF(OR(MID(A865,5,3)={"FBT","FCH","FMK","FYG","MLK","ICE","FRV","FPO","FRF","FCC","BRD"}),1.28,IF(OR(MID(A865,5,3)={"BIS","CRP","HRB","TUR","IND","HYG"}),1.38,1.31)))),2)</f>
        <v>23.94</v>
      </c>
      <c r="I865" s="29">
        <f>(Table1[[#This Row],[SALE PRICE]]-Table1[[#This Row],[COST PRICE]])/Table1[[#This Row],[SALE PRICE]]</f>
        <v>0.24812030075187974</v>
      </c>
      <c r="J865" s="26" t="str">
        <f>IF(Table1[[#This Row],[MARGIN]]&lt;25%, "REVIEW", "OK")</f>
        <v>REVIEW</v>
      </c>
    </row>
    <row r="866" spans="1:10" ht="15.6" x14ac:dyDescent="0.3">
      <c r="A866" s="17" t="s">
        <v>933</v>
      </c>
      <c r="B866" s="12" t="s">
        <v>631</v>
      </c>
      <c r="C866" s="12" t="s">
        <v>1439</v>
      </c>
      <c r="D866" s="10" t="s">
        <v>8</v>
      </c>
      <c r="E866" s="10" t="s">
        <v>8</v>
      </c>
      <c r="F866" s="12" t="s">
        <v>994</v>
      </c>
      <c r="G866" s="46">
        <v>3.29</v>
      </c>
      <c r="H866" s="47" cm="1">
        <f t="array" ref="H866">ROUND(G866*IF(OR(MID(A866,5,3)={"BFF","PRK","FPL","LMB","FFI","MET","RIC","FLR","SUG","OIL","DRK","JCE","FEG"}),1.21,IF(OR(MID(A866,5,3)={"FVG","FFR"}),1.33,IF(OR(MID(A866,5,3)={"FBT","FCH","FMK","FYG","MLK","ICE","FRV","FPO","FRF","FCC","BRD"}),1.28,IF(OR(MID(A866,5,3)={"BIS","CRP","HRB","TUR","IND","HYG"}),1.38,1.31)))),2)</f>
        <v>4.38</v>
      </c>
      <c r="I866" s="27">
        <f>(Table1[[#This Row],[SALE PRICE]]-Table1[[#This Row],[COST PRICE]])/Table1[[#This Row],[SALE PRICE]]</f>
        <v>0.24885844748858446</v>
      </c>
      <c r="J866" s="27" t="str">
        <f>IF(Table1[[#This Row],[MARGIN]]&lt;25%, "REVIEW", "OK")</f>
        <v>REVIEW</v>
      </c>
    </row>
    <row r="867" spans="1:10" ht="15.6" x14ac:dyDescent="0.3">
      <c r="A867" s="18" t="s">
        <v>934</v>
      </c>
      <c r="B867" s="13" t="s">
        <v>1064</v>
      </c>
      <c r="C867" s="13" t="s">
        <v>1427</v>
      </c>
      <c r="D867" s="11" t="s">
        <v>8</v>
      </c>
      <c r="E867" s="11" t="s">
        <v>8</v>
      </c>
      <c r="F867" s="13" t="s">
        <v>1065</v>
      </c>
      <c r="G867" s="47">
        <v>5.99</v>
      </c>
      <c r="H867" s="46" cm="1">
        <f t="array" ref="H867">ROUND(G867*IF(OR(MID(A867,5,3)={"BFF","PRK","FPL","LMB","FFI","MET","RIC","FLR","SUG","OIL","DRK","JCE","FEG"}),1.21,IF(OR(MID(A867,5,3)={"FVG","FFR"}),1.33,IF(OR(MID(A867,5,3)={"FBT","FCH","FMK","FYG","MLK","ICE","FRV","FPO","FRF","FCC","BRD"}),1.28,IF(OR(MID(A867,5,3)={"BIS","CRP","HRB","TUR","IND","HYG"}),1.38,1.31)))),2)</f>
        <v>7.97</v>
      </c>
      <c r="I867" s="29">
        <f>(Table1[[#This Row],[SALE PRICE]]-Table1[[#This Row],[COST PRICE]])/Table1[[#This Row],[SALE PRICE]]</f>
        <v>0.24843161856963608</v>
      </c>
      <c r="J867" s="26" t="str">
        <f>IF(Table1[[#This Row],[MARGIN]]&lt;25%, "REVIEW", "OK")</f>
        <v>REVIEW</v>
      </c>
    </row>
    <row r="868" spans="1:10" ht="15.6" x14ac:dyDescent="0.3">
      <c r="A868" s="17" t="s">
        <v>935</v>
      </c>
      <c r="B868" s="12" t="s">
        <v>936</v>
      </c>
      <c r="C868" s="12" t="s">
        <v>1440</v>
      </c>
      <c r="D868" s="10" t="s">
        <v>8</v>
      </c>
      <c r="E868" s="10" t="s">
        <v>8</v>
      </c>
      <c r="F868" s="12" t="s">
        <v>1013</v>
      </c>
      <c r="G868" s="46">
        <v>1.9</v>
      </c>
      <c r="H868" s="47" cm="1">
        <f t="array" ref="H868">ROUND(G868*IF(OR(MID(A868,5,3)={"BFF","PRK","FPL","LMB","FFI","MET","RIC","FLR","SUG","OIL","DRK","JCE","FEG"}),1.21,IF(OR(MID(A868,5,3)={"FVG","FFR"}),1.33,IF(OR(MID(A868,5,3)={"FBT","FCH","FMK","FYG","MLK","ICE","FRV","FPO","FRF","FCC","BRD"}),1.28,IF(OR(MID(A868,5,3)={"BIS","CRP","HRB","TUR","IND","HYG"}),1.38,1.31)))),2)</f>
        <v>2.5299999999999998</v>
      </c>
      <c r="I868" s="27">
        <f>(Table1[[#This Row],[SALE PRICE]]-Table1[[#This Row],[COST PRICE]])/Table1[[#This Row],[SALE PRICE]]</f>
        <v>0.24901185770750986</v>
      </c>
      <c r="J868" s="27" t="str">
        <f>IF(Table1[[#This Row],[MARGIN]]&lt;25%, "REVIEW", "OK")</f>
        <v>REVIEW</v>
      </c>
    </row>
    <row r="869" spans="1:10" ht="15.6" x14ac:dyDescent="0.3">
      <c r="A869" s="18" t="s">
        <v>937</v>
      </c>
      <c r="B869" s="13" t="s">
        <v>938</v>
      </c>
      <c r="C869" s="13" t="s">
        <v>1444</v>
      </c>
      <c r="D869" s="11" t="s">
        <v>8</v>
      </c>
      <c r="E869" s="11" t="s">
        <v>8</v>
      </c>
      <c r="F869" s="13" t="s">
        <v>997</v>
      </c>
      <c r="G869" s="47">
        <v>1.3</v>
      </c>
      <c r="H869" s="46" cm="1">
        <f t="array" ref="H869">ROUND(G869*IF(OR(MID(A869,5,3)={"BFF","PRK","FPL","LMB","FFI","MET","RIC","FLR","SUG","OIL","DRK","JCE","FEG"}),1.21,IF(OR(MID(A869,5,3)={"FVG","FFR"}),1.33,IF(OR(MID(A869,5,3)={"FBT","FCH","FMK","FYG","MLK","ICE","FRV","FPO","FRF","FCC","BRD"}),1.28,IF(OR(MID(A869,5,3)={"BIS","CRP","HRB","TUR","IND","HYG"}),1.38,1.31)))),2)</f>
        <v>1.73</v>
      </c>
      <c r="I869" s="29">
        <f>(Table1[[#This Row],[SALE PRICE]]-Table1[[#This Row],[COST PRICE]])/Table1[[#This Row],[SALE PRICE]]</f>
        <v>0.24855491329479765</v>
      </c>
      <c r="J869" s="26" t="str">
        <f>IF(Table1[[#This Row],[MARGIN]]&lt;25%, "REVIEW", "OK")</f>
        <v>REVIEW</v>
      </c>
    </row>
    <row r="870" spans="1:10" ht="15.6" x14ac:dyDescent="0.3">
      <c r="A870" s="17" t="s">
        <v>939</v>
      </c>
      <c r="B870" s="12" t="s">
        <v>1052</v>
      </c>
      <c r="C870" s="12" t="s">
        <v>1427</v>
      </c>
      <c r="D870" s="10" t="s">
        <v>8</v>
      </c>
      <c r="E870" s="10" t="s">
        <v>8</v>
      </c>
      <c r="F870" s="12" t="s">
        <v>1053</v>
      </c>
      <c r="G870" s="46">
        <v>7.99</v>
      </c>
      <c r="H870" s="47" cm="1">
        <f t="array" ref="H870">ROUND(G870*IF(OR(MID(A870,5,3)={"BFF","PRK","FPL","LMB","FFI","MET","RIC","FLR","SUG","OIL","DRK","JCE","FEG"}),1.21,IF(OR(MID(A870,5,3)={"FVG","FFR"}),1.33,IF(OR(MID(A870,5,3)={"FBT","FCH","FMK","FYG","MLK","ICE","FRV","FPO","FRF","FCC","BRD"}),1.28,IF(OR(MID(A870,5,3)={"BIS","CRP","HRB","TUR","IND","HYG"}),1.38,1.31)))),2)</f>
        <v>10.63</v>
      </c>
      <c r="I870" s="27">
        <f>(Table1[[#This Row],[SALE PRICE]]-Table1[[#This Row],[COST PRICE]])/Table1[[#This Row],[SALE PRICE]]</f>
        <v>0.2483537158984008</v>
      </c>
      <c r="J870" s="27" t="str">
        <f>IF(Table1[[#This Row],[MARGIN]]&lt;25%, "REVIEW", "OK")</f>
        <v>REVIEW</v>
      </c>
    </row>
    <row r="871" spans="1:10" ht="15.6" x14ac:dyDescent="0.3">
      <c r="A871" s="18" t="s">
        <v>940</v>
      </c>
      <c r="B871" s="13" t="s">
        <v>1050</v>
      </c>
      <c r="C871" s="13" t="s">
        <v>1427</v>
      </c>
      <c r="D871" s="11" t="s">
        <v>8</v>
      </c>
      <c r="E871" s="11" t="s">
        <v>8</v>
      </c>
      <c r="F871" s="13" t="s">
        <v>1051</v>
      </c>
      <c r="G871" s="47">
        <v>12.99</v>
      </c>
      <c r="H871" s="46" cm="1">
        <f t="array" ref="H871">ROUND(G871*IF(OR(MID(A871,5,3)={"BFF","PRK","FPL","LMB","FFI","MET","RIC","FLR","SUG","OIL","DRK","JCE","FEG"}),1.21,IF(OR(MID(A871,5,3)={"FVG","FFR"}),1.33,IF(OR(MID(A871,5,3)={"FBT","FCH","FMK","FYG","MLK","ICE","FRV","FPO","FRF","FCC","BRD"}),1.28,IF(OR(MID(A871,5,3)={"BIS","CRP","HRB","TUR","IND","HYG"}),1.38,1.31)))),2)</f>
        <v>17.28</v>
      </c>
      <c r="I871" s="29">
        <f>(Table1[[#This Row],[SALE PRICE]]-Table1[[#This Row],[COST PRICE]])/Table1[[#This Row],[SALE PRICE]]</f>
        <v>0.24826388888888892</v>
      </c>
      <c r="J871" s="26" t="str">
        <f>IF(Table1[[#This Row],[MARGIN]]&lt;25%, "REVIEW", "OK")</f>
        <v>REVIEW</v>
      </c>
    </row>
    <row r="872" spans="1:10" ht="15.6" x14ac:dyDescent="0.3">
      <c r="A872" s="17" t="s">
        <v>941</v>
      </c>
      <c r="B872" s="12" t="s">
        <v>2295</v>
      </c>
      <c r="C872" s="12" t="s">
        <v>1427</v>
      </c>
      <c r="D872" s="10" t="s">
        <v>8</v>
      </c>
      <c r="E872" s="10" t="s">
        <v>8</v>
      </c>
      <c r="F872" s="12" t="s">
        <v>995</v>
      </c>
      <c r="G872" s="46">
        <v>19.989999999999998</v>
      </c>
      <c r="H872" s="47" cm="1">
        <f t="array" ref="H872">ROUND(G872*IF(OR(MID(A872,5,3)={"BFF","PRK","FPL","LMB","FFI","MET","RIC","FLR","SUG","OIL","DRK","JCE","FEG"}),1.21,IF(OR(MID(A872,5,3)={"FVG","FFR"}),1.33,IF(OR(MID(A872,5,3)={"FBT","FCH","FMK","FYG","MLK","ICE","FRV","FPO","FRF","FCC","BRD"}),1.28,IF(OR(MID(A872,5,3)={"BIS","CRP","HRB","TUR","IND","HYG"}),1.38,1.31)))),2)</f>
        <v>26.59</v>
      </c>
      <c r="I872" s="27">
        <f>(Table1[[#This Row],[SALE PRICE]]-Table1[[#This Row],[COST PRICE]])/Table1[[#This Row],[SALE PRICE]]</f>
        <v>0.24821361414065443</v>
      </c>
      <c r="J872" s="27" t="str">
        <f>IF(Table1[[#This Row],[MARGIN]]&lt;25%, "REVIEW", "OK")</f>
        <v>REVIEW</v>
      </c>
    </row>
    <row r="873" spans="1:10" ht="15.6" x14ac:dyDescent="0.3">
      <c r="A873" s="18" t="s">
        <v>942</v>
      </c>
      <c r="B873" s="13" t="s">
        <v>943</v>
      </c>
      <c r="C873" s="13" t="s">
        <v>1429</v>
      </c>
      <c r="D873" s="11" t="s">
        <v>8</v>
      </c>
      <c r="E873" s="11" t="s">
        <v>8</v>
      </c>
      <c r="F873" s="13" t="s">
        <v>995</v>
      </c>
      <c r="G873" s="47">
        <v>13.5</v>
      </c>
      <c r="H873" s="46" cm="1">
        <f t="array" ref="H873">ROUND(G873*IF(OR(MID(A873,5,3)={"BFF","PRK","FPL","LMB","FFI","MET","RIC","FLR","SUG","OIL","DRK","JCE","FEG"}),1.21,IF(OR(MID(A873,5,3)={"FVG","FFR"}),1.33,IF(OR(MID(A873,5,3)={"FBT","FCH","FMK","FYG","MLK","ICE","FRV","FPO","FRF","FCC","BRD"}),1.28,IF(OR(MID(A873,5,3)={"BIS","CRP","HRB","TUR","IND","HYG"}),1.38,1.31)))),2)</f>
        <v>17.96</v>
      </c>
      <c r="I873" s="29">
        <f>(Table1[[#This Row],[SALE PRICE]]-Table1[[#This Row],[COST PRICE]])/Table1[[#This Row],[SALE PRICE]]</f>
        <v>0.24832962138084635</v>
      </c>
      <c r="J873" s="26" t="str">
        <f>IF(Table1[[#This Row],[MARGIN]]&lt;25%, "REVIEW", "OK")</f>
        <v>REVIEW</v>
      </c>
    </row>
    <row r="874" spans="1:10" ht="15.6" x14ac:dyDescent="0.3">
      <c r="A874" s="17" t="s">
        <v>944</v>
      </c>
      <c r="B874" s="12" t="s">
        <v>945</v>
      </c>
      <c r="C874" s="12" t="s">
        <v>1439</v>
      </c>
      <c r="D874" s="10" t="s">
        <v>8</v>
      </c>
      <c r="E874" s="10" t="s">
        <v>8</v>
      </c>
      <c r="F874" s="12" t="s">
        <v>994</v>
      </c>
      <c r="G874" s="46">
        <v>3.2</v>
      </c>
      <c r="H874" s="47" cm="1">
        <f t="array" ref="H874">ROUND(G874*IF(OR(MID(A874,5,3)={"BFF","PRK","FPL","LMB","FFI","MET","RIC","FLR","SUG","OIL","DRK","JCE","FEG"}),1.21,IF(OR(MID(A874,5,3)={"FVG","FFR"}),1.33,IF(OR(MID(A874,5,3)={"FBT","FCH","FMK","FYG","MLK","ICE","FRV","FPO","FRF","FCC","BRD"}),1.28,IF(OR(MID(A874,5,3)={"BIS","CRP","HRB","TUR","IND","HYG"}),1.38,1.31)))),2)</f>
        <v>4.26</v>
      </c>
      <c r="I874" s="27">
        <f>(Table1[[#This Row],[SALE PRICE]]-Table1[[#This Row],[COST PRICE]])/Table1[[#This Row],[SALE PRICE]]</f>
        <v>0.24882629107981213</v>
      </c>
      <c r="J874" s="27" t="str">
        <f>IF(Table1[[#This Row],[MARGIN]]&lt;25%, "REVIEW", "OK")</f>
        <v>REVIEW</v>
      </c>
    </row>
    <row r="875" spans="1:10" ht="15.6" x14ac:dyDescent="0.3">
      <c r="A875" s="18" t="s">
        <v>946</v>
      </c>
      <c r="B875" s="13" t="s">
        <v>947</v>
      </c>
      <c r="C875" s="13" t="s">
        <v>1439</v>
      </c>
      <c r="D875" s="11" t="s">
        <v>8</v>
      </c>
      <c r="E875" s="11" t="s">
        <v>8</v>
      </c>
      <c r="F875" s="13" t="s">
        <v>994</v>
      </c>
      <c r="G875" s="47">
        <v>9</v>
      </c>
      <c r="H875" s="46" cm="1">
        <f t="array" ref="H875">ROUND(G875*IF(OR(MID(A875,5,3)={"BFF","PRK","FPL","LMB","FFI","MET","RIC","FLR","SUG","OIL","DRK","JCE","FEG"}),1.21,IF(OR(MID(A875,5,3)={"FVG","FFR"}),1.33,IF(OR(MID(A875,5,3)={"FBT","FCH","FMK","FYG","MLK","ICE","FRV","FPO","FRF","FCC","BRD"}),1.28,IF(OR(MID(A875,5,3)={"BIS","CRP","HRB","TUR","IND","HYG"}),1.38,1.31)))),2)</f>
        <v>11.97</v>
      </c>
      <c r="I875" s="29">
        <f>(Table1[[#This Row],[SALE PRICE]]-Table1[[#This Row],[COST PRICE]])/Table1[[#This Row],[SALE PRICE]]</f>
        <v>0.24812030075187974</v>
      </c>
      <c r="J875" s="26" t="str">
        <f>IF(Table1[[#This Row],[MARGIN]]&lt;25%, "REVIEW", "OK")</f>
        <v>REVIEW</v>
      </c>
    </row>
    <row r="876" spans="1:10" ht="15.6" x14ac:dyDescent="0.3">
      <c r="A876" s="17" t="s">
        <v>948</v>
      </c>
      <c r="B876" s="12" t="s">
        <v>845</v>
      </c>
      <c r="C876" s="12" t="s">
        <v>1444</v>
      </c>
      <c r="D876" s="10" t="s">
        <v>8</v>
      </c>
      <c r="E876" s="10" t="s">
        <v>8</v>
      </c>
      <c r="F876" s="12" t="s">
        <v>997</v>
      </c>
      <c r="G876" s="46">
        <v>1.3</v>
      </c>
      <c r="H876" s="47" cm="1">
        <f t="array" ref="H876">ROUND(G876*IF(OR(MID(A876,5,3)={"BFF","PRK","FPL","LMB","FFI","MET","RIC","FLR","SUG","OIL","DRK","JCE","FEG"}),1.21,IF(OR(MID(A876,5,3)={"FVG","FFR"}),1.33,IF(OR(MID(A876,5,3)={"FBT","FCH","FMK","FYG","MLK","ICE","FRV","FPO","FRF","FCC","BRD"}),1.28,IF(OR(MID(A876,5,3)={"BIS","CRP","HRB","TUR","IND","HYG"}),1.38,1.31)))),2)</f>
        <v>1.73</v>
      </c>
      <c r="I876" s="27">
        <f>(Table1[[#This Row],[SALE PRICE]]-Table1[[#This Row],[COST PRICE]])/Table1[[#This Row],[SALE PRICE]]</f>
        <v>0.24855491329479765</v>
      </c>
      <c r="J876" s="27" t="str">
        <f>IF(Table1[[#This Row],[MARGIN]]&lt;25%, "REVIEW", "OK")</f>
        <v>REVIEW</v>
      </c>
    </row>
    <row r="877" spans="1:10" ht="15.6" x14ac:dyDescent="0.3">
      <c r="A877" s="18" t="s">
        <v>949</v>
      </c>
      <c r="B877" s="13" t="s">
        <v>950</v>
      </c>
      <c r="C877" s="13" t="s">
        <v>1444</v>
      </c>
      <c r="D877" s="11" t="s">
        <v>8</v>
      </c>
      <c r="E877" s="11" t="s">
        <v>8</v>
      </c>
      <c r="F877" s="13" t="s">
        <v>1014</v>
      </c>
      <c r="G877" s="47">
        <v>1.75</v>
      </c>
      <c r="H877" s="46" cm="1">
        <f t="array" ref="H877">ROUND(G877*IF(OR(MID(A877,5,3)={"BFF","PRK","FPL","LMB","FFI","MET","RIC","FLR","SUG","OIL","DRK","JCE","FEG"}),1.21,IF(OR(MID(A877,5,3)={"FVG","FFR"}),1.33,IF(OR(MID(A877,5,3)={"FBT","FCH","FMK","FYG","MLK","ICE","FRV","FPO","FRF","FCC","BRD"}),1.28,IF(OR(MID(A877,5,3)={"BIS","CRP","HRB","TUR","IND","HYG"}),1.38,1.31)))),2)</f>
        <v>2.33</v>
      </c>
      <c r="I877" s="29">
        <f>(Table1[[#This Row],[SALE PRICE]]-Table1[[#This Row],[COST PRICE]])/Table1[[#This Row],[SALE PRICE]]</f>
        <v>0.24892703862660948</v>
      </c>
      <c r="J877" s="26" t="str">
        <f>IF(Table1[[#This Row],[MARGIN]]&lt;25%, "REVIEW", "OK")</f>
        <v>REVIEW</v>
      </c>
    </row>
    <row r="878" spans="1:10" ht="15.6" x14ac:dyDescent="0.3">
      <c r="A878" s="17" t="s">
        <v>951</v>
      </c>
      <c r="B878" s="12" t="s">
        <v>952</v>
      </c>
      <c r="C878" s="12" t="s">
        <v>1444</v>
      </c>
      <c r="D878" s="10" t="s">
        <v>8</v>
      </c>
      <c r="E878" s="10" t="s">
        <v>8</v>
      </c>
      <c r="F878" s="12" t="s">
        <v>1011</v>
      </c>
      <c r="G878" s="46">
        <v>1.75</v>
      </c>
      <c r="H878" s="47" cm="1">
        <f t="array" ref="H878">ROUND(G878*IF(OR(MID(A878,5,3)={"BFF","PRK","FPL","LMB","FFI","MET","RIC","FLR","SUG","OIL","DRK","JCE","FEG"}),1.21,IF(OR(MID(A878,5,3)={"FVG","FFR"}),1.33,IF(OR(MID(A878,5,3)={"FBT","FCH","FMK","FYG","MLK","ICE","FRV","FPO","FRF","FCC","BRD"}),1.28,IF(OR(MID(A878,5,3)={"BIS","CRP","HRB","TUR","IND","HYG"}),1.38,1.31)))),2)</f>
        <v>2.33</v>
      </c>
      <c r="I878" s="27">
        <f>(Table1[[#This Row],[SALE PRICE]]-Table1[[#This Row],[COST PRICE]])/Table1[[#This Row],[SALE PRICE]]</f>
        <v>0.24892703862660948</v>
      </c>
      <c r="J878" s="27" t="str">
        <f>IF(Table1[[#This Row],[MARGIN]]&lt;25%, "REVIEW", "OK")</f>
        <v>REVIEW</v>
      </c>
    </row>
    <row r="879" spans="1:10" ht="15.6" x14ac:dyDescent="0.3">
      <c r="A879" s="18" t="s">
        <v>953</v>
      </c>
      <c r="B879" s="13" t="s">
        <v>954</v>
      </c>
      <c r="C879" s="13" t="s">
        <v>1444</v>
      </c>
      <c r="D879" s="11" t="s">
        <v>8</v>
      </c>
      <c r="E879" s="11" t="s">
        <v>8</v>
      </c>
      <c r="F879" s="13" t="s">
        <v>997</v>
      </c>
      <c r="G879" s="47">
        <v>1.2</v>
      </c>
      <c r="H879" s="46" cm="1">
        <f t="array" ref="H879">ROUND(G879*IF(OR(MID(A879,5,3)={"BFF","PRK","FPL","LMB","FFI","MET","RIC","FLR","SUG","OIL","DRK","JCE","FEG"}),1.21,IF(OR(MID(A879,5,3)={"FVG","FFR"}),1.33,IF(OR(MID(A879,5,3)={"FBT","FCH","FMK","FYG","MLK","ICE","FRV","FPO","FRF","FCC","BRD"}),1.28,IF(OR(MID(A879,5,3)={"BIS","CRP","HRB","TUR","IND","HYG"}),1.38,1.31)))),2)</f>
        <v>1.6</v>
      </c>
      <c r="I879" s="29">
        <f>(Table1[[#This Row],[SALE PRICE]]-Table1[[#This Row],[COST PRICE]])/Table1[[#This Row],[SALE PRICE]]</f>
        <v>0.25000000000000006</v>
      </c>
      <c r="J879" s="26" t="str">
        <f>IF(Table1[[#This Row],[MARGIN]]&lt;25%, "REVIEW", "OK")</f>
        <v>OK</v>
      </c>
    </row>
    <row r="880" spans="1:10" s="1" customFormat="1" ht="15.6" x14ac:dyDescent="0.3">
      <c r="A880" s="16" t="s">
        <v>955</v>
      </c>
      <c r="B880" s="2" t="s">
        <v>8</v>
      </c>
      <c r="C880" s="2"/>
      <c r="D880" s="2" t="s">
        <v>8</v>
      </c>
      <c r="E880" s="2" t="s">
        <v>8</v>
      </c>
      <c r="F880" s="2" t="s">
        <v>8</v>
      </c>
      <c r="G880" s="48" t="s">
        <v>8</v>
      </c>
      <c r="H880" s="48" t="e" cm="1">
        <f t="array" ref="H880">ROUND(G880*IF(OR(MID(A880,5,3)={"BFF","PRK","FPL","LMB","FFI","MET","RIC","FLR","SUG","OIL","DRK","JCE","FEG"}),1.21,IF(OR(MID(A880,5,3)={"FVG","FFR"}),1.33,IF(OR(MID(A880,5,3)={"FBT","FCH","FMK","FYG","MLK","ICE","FRV","FPO","FRF","FCC","BRD"}),1.28,IF(OR(MID(A880,5,3)={"BIS","CRP","HRB","TUR","IND","HYG"}),1.38,1.31)))),2)</f>
        <v>#VALUE!</v>
      </c>
      <c r="I880" s="19"/>
      <c r="J880" s="19"/>
    </row>
    <row r="881" spans="1:10" ht="15.6" x14ac:dyDescent="0.3">
      <c r="A881" s="17" t="s">
        <v>956</v>
      </c>
      <c r="B881" s="12" t="s">
        <v>2296</v>
      </c>
      <c r="C881" s="12" t="s">
        <v>1427</v>
      </c>
      <c r="D881" s="10" t="s">
        <v>8</v>
      </c>
      <c r="E881" s="10" t="s">
        <v>8</v>
      </c>
      <c r="F881" s="12" t="s">
        <v>1005</v>
      </c>
      <c r="G881" s="46">
        <v>4.99</v>
      </c>
      <c r="H881" s="46" cm="1">
        <f t="array" ref="H881">ROUND(G881*IF(OR(MID(A881,5,3)={"BFF","PRK","FPL","LMB","FFI","MET","RIC","FLR","SUG","OIL","DRK","JCE","FEG"}),1.21,IF(OR(MID(A881,5,3)={"FVG","FFR"}),1.33,IF(OR(MID(A881,5,3)={"FBT","FCH","FMK","FYG","MLK","ICE","FRV","FPO","FRF","FCC","BRD"}),1.28,IF(OR(MID(A881,5,3)={"BIS","CRP","HRB","TUR","IND","HYG"}),1.38,1.31)))),2)</f>
        <v>6.64</v>
      </c>
      <c r="I881" s="29">
        <f>(Table1[[#This Row],[SALE PRICE]]-Table1[[#This Row],[COST PRICE]])/Table1[[#This Row],[SALE PRICE]]</f>
        <v>0.24849397590361438</v>
      </c>
      <c r="J881" s="26" t="str">
        <f>IF(Table1[[#This Row],[MARGIN]]&lt;25%, "REVIEW", "OK")</f>
        <v>REVIEW</v>
      </c>
    </row>
    <row r="882" spans="1:10" ht="15.6" x14ac:dyDescent="0.3">
      <c r="A882" s="18" t="s">
        <v>957</v>
      </c>
      <c r="B882" s="13" t="s">
        <v>2297</v>
      </c>
      <c r="C882" s="13" t="s">
        <v>1427</v>
      </c>
      <c r="D882" s="11" t="s">
        <v>8</v>
      </c>
      <c r="E882" s="11" t="s">
        <v>8</v>
      </c>
      <c r="F882" s="12" t="s">
        <v>1005</v>
      </c>
      <c r="G882" s="47">
        <v>4.99</v>
      </c>
      <c r="H882" s="47" cm="1">
        <f t="array" ref="H882">ROUND(G882*IF(OR(MID(A882,5,3)={"BFF","PRK","FPL","LMB","FFI","MET","RIC","FLR","SUG","OIL","DRK","JCE","FEG"}),1.21,IF(OR(MID(A882,5,3)={"FVG","FFR"}),1.33,IF(OR(MID(A882,5,3)={"FBT","FCH","FMK","FYG","MLK","ICE","FRV","FPO","FRF","FCC","BRD"}),1.28,IF(OR(MID(A882,5,3)={"BIS","CRP","HRB","TUR","IND","HYG"}),1.38,1.31)))),2)</f>
        <v>6.64</v>
      </c>
      <c r="I882" s="27">
        <f>(Table1[[#This Row],[SALE PRICE]]-Table1[[#This Row],[COST PRICE]])/Table1[[#This Row],[SALE PRICE]]</f>
        <v>0.24849397590361438</v>
      </c>
      <c r="J882" s="27" t="str">
        <f>IF(Table1[[#This Row],[MARGIN]]&lt;25%, "REVIEW", "OK")</f>
        <v>REVIEW</v>
      </c>
    </row>
    <row r="883" spans="1:10" ht="15.6" x14ac:dyDescent="0.3">
      <c r="A883" s="17" t="s">
        <v>958</v>
      </c>
      <c r="B883" s="12" t="s">
        <v>959</v>
      </c>
      <c r="C883" s="12" t="s">
        <v>1427</v>
      </c>
      <c r="D883" s="10" t="s">
        <v>8</v>
      </c>
      <c r="E883" s="10" t="s">
        <v>8</v>
      </c>
      <c r="F883" s="12" t="s">
        <v>1015</v>
      </c>
      <c r="G883" s="46">
        <v>26.67</v>
      </c>
      <c r="H883" s="46" cm="1">
        <f t="array" ref="H883">ROUND(G883*IF(OR(MID(A883,5,3)={"BFF","PRK","FPL","LMB","FFI","MET","RIC","FLR","SUG","OIL","DRK","JCE","FEG"}),1.21,IF(OR(MID(A883,5,3)={"FVG","FFR"}),1.33,IF(OR(MID(A883,5,3)={"FBT","FCH","FMK","FYG","MLK","ICE","FRV","FPO","FRF","FCC","BRD"}),1.28,IF(OR(MID(A883,5,3)={"BIS","CRP","HRB","TUR","IND","HYG"}),1.38,1.31)))),2)</f>
        <v>35.47</v>
      </c>
      <c r="I883" s="29">
        <f>(Table1[[#This Row],[SALE PRICE]]-Table1[[#This Row],[COST PRICE]])/Table1[[#This Row],[SALE PRICE]]</f>
        <v>0.2480969833662249</v>
      </c>
      <c r="J883" s="26" t="str">
        <f>IF(Table1[[#This Row],[MARGIN]]&lt;25%, "REVIEW", "OK")</f>
        <v>REVIEW</v>
      </c>
    </row>
    <row r="884" spans="1:10" ht="15.6" x14ac:dyDescent="0.3">
      <c r="A884" s="18" t="s">
        <v>960</v>
      </c>
      <c r="B884" s="13" t="s">
        <v>961</v>
      </c>
      <c r="C884" s="13" t="s">
        <v>1427</v>
      </c>
      <c r="D884" s="11" t="s">
        <v>8</v>
      </c>
      <c r="E884" s="11" t="s">
        <v>8</v>
      </c>
      <c r="F884" s="13" t="s">
        <v>1016</v>
      </c>
      <c r="G884" s="47">
        <v>20</v>
      </c>
      <c r="H884" s="47" cm="1">
        <f t="array" ref="H884">ROUND(G884*IF(OR(MID(A884,5,3)={"BFF","PRK","FPL","LMB","FFI","MET","RIC","FLR","SUG","OIL","DRK","JCE","FEG"}),1.21,IF(OR(MID(A884,5,3)={"FVG","FFR"}),1.33,IF(OR(MID(A884,5,3)={"FBT","FCH","FMK","FYG","MLK","ICE","FRV","FPO","FRF","FCC","BRD"}),1.28,IF(OR(MID(A884,5,3)={"BIS","CRP","HRB","TUR","IND","HYG"}),1.38,1.31)))),2)</f>
        <v>26.6</v>
      </c>
      <c r="I884" s="27">
        <f>(Table1[[#This Row],[SALE PRICE]]-Table1[[#This Row],[COST PRICE]])/Table1[[#This Row],[SALE PRICE]]</f>
        <v>0.24812030075187974</v>
      </c>
      <c r="J884" s="27" t="str">
        <f>IF(Table1[[#This Row],[MARGIN]]&lt;25%, "REVIEW", "OK")</f>
        <v>REVIEW</v>
      </c>
    </row>
    <row r="885" spans="1:10" ht="15.6" x14ac:dyDescent="0.3">
      <c r="A885" s="17" t="s">
        <v>962</v>
      </c>
      <c r="B885" s="12" t="s">
        <v>2298</v>
      </c>
      <c r="C885" s="12" t="s">
        <v>1427</v>
      </c>
      <c r="D885" s="10" t="s">
        <v>8</v>
      </c>
      <c r="E885" s="10" t="s">
        <v>8</v>
      </c>
      <c r="F885" s="12" t="s">
        <v>1885</v>
      </c>
      <c r="G885" s="46">
        <v>0.95</v>
      </c>
      <c r="H885" s="46" cm="1">
        <f t="array" ref="H885">ROUND(G885*IF(OR(MID(A885,5,3)={"BFF","PRK","FPL","LMB","FFI","MET","RIC","FLR","SUG","OIL","DRK","JCE","FEG"}),1.21,IF(OR(MID(A885,5,3)={"FVG","FFR"}),1.33,IF(OR(MID(A885,5,3)={"FBT","FCH","FMK","FYG","MLK","ICE","FRV","FPO","FRF","FCC","BRD"}),1.28,IF(OR(MID(A885,5,3)={"BIS","CRP","HRB","TUR","IND","HYG"}),1.38,1.31)))),2)</f>
        <v>1.26</v>
      </c>
      <c r="I885" s="29">
        <f>(Table1[[#This Row],[SALE PRICE]]-Table1[[#This Row],[COST PRICE]])/Table1[[#This Row],[SALE PRICE]]</f>
        <v>0.24603174603174607</v>
      </c>
      <c r="J885" s="26" t="str">
        <f>IF(Table1[[#This Row],[MARGIN]]&lt;25%, "REVIEW", "OK")</f>
        <v>REVIEW</v>
      </c>
    </row>
    <row r="886" spans="1:10" ht="15.6" x14ac:dyDescent="0.3">
      <c r="A886" s="18" t="s">
        <v>963</v>
      </c>
      <c r="B886" s="13" t="s">
        <v>964</v>
      </c>
      <c r="C886" s="13" t="s">
        <v>1427</v>
      </c>
      <c r="D886" s="11" t="s">
        <v>8</v>
      </c>
      <c r="E886" s="11" t="s">
        <v>8</v>
      </c>
      <c r="F886" s="13" t="s">
        <v>1017</v>
      </c>
      <c r="G886" s="47">
        <v>18.7</v>
      </c>
      <c r="H886" s="47" cm="1">
        <f t="array" ref="H886">ROUND(G886*IF(OR(MID(A886,5,3)={"BFF","PRK","FPL","LMB","FFI","MET","RIC","FLR","SUG","OIL","DRK","JCE","FEG"}),1.21,IF(OR(MID(A886,5,3)={"FVG","FFR"}),1.33,IF(OR(MID(A886,5,3)={"FBT","FCH","FMK","FYG","MLK","ICE","FRV","FPO","FRF","FCC","BRD"}),1.28,IF(OR(MID(A886,5,3)={"BIS","CRP","HRB","TUR","IND","HYG"}),1.38,1.31)))),2)</f>
        <v>24.87</v>
      </c>
      <c r="I886" s="27">
        <f>(Table1[[#This Row],[SALE PRICE]]-Table1[[#This Row],[COST PRICE]])/Table1[[#This Row],[SALE PRICE]]</f>
        <v>0.24809006835544839</v>
      </c>
      <c r="J886" s="27" t="str">
        <f>IF(Table1[[#This Row],[MARGIN]]&lt;25%, "REVIEW", "OK")</f>
        <v>REVIEW</v>
      </c>
    </row>
    <row r="887" spans="1:10" ht="15.6" x14ac:dyDescent="0.3">
      <c r="A887" s="17" t="s">
        <v>965</v>
      </c>
      <c r="B887" s="12" t="s">
        <v>966</v>
      </c>
      <c r="C887" s="12" t="s">
        <v>1440</v>
      </c>
      <c r="D887" s="10" t="s">
        <v>8</v>
      </c>
      <c r="E887" s="10" t="s">
        <v>8</v>
      </c>
      <c r="F887" s="12" t="s">
        <v>996</v>
      </c>
      <c r="G887" s="46">
        <v>0.73</v>
      </c>
      <c r="H887" s="46" cm="1">
        <f t="array" ref="H887">ROUND(G887*IF(OR(MID(A887,5,3)={"BFF","PRK","FPL","LMB","FFI","MET","RIC","FLR","SUG","OIL","DRK","JCE","FEG"}),1.21,IF(OR(MID(A887,5,3)={"FVG","FFR"}),1.33,IF(OR(MID(A887,5,3)={"FBT","FCH","FMK","FYG","MLK","ICE","FRV","FPO","FRF","FCC","BRD"}),1.28,IF(OR(MID(A887,5,3)={"BIS","CRP","HRB","TUR","IND","HYG"}),1.38,1.31)))),2)</f>
        <v>0.97</v>
      </c>
      <c r="I887" s="29">
        <f>(Table1[[#This Row],[SALE PRICE]]-Table1[[#This Row],[COST PRICE]])/Table1[[#This Row],[SALE PRICE]]</f>
        <v>0.24742268041237114</v>
      </c>
      <c r="J887" s="26" t="str">
        <f>IF(Table1[[#This Row],[MARGIN]]&lt;25%, "REVIEW", "OK")</f>
        <v>REVIEW</v>
      </c>
    </row>
    <row r="888" spans="1:10" ht="15.6" x14ac:dyDescent="0.3">
      <c r="A888" s="18" t="s">
        <v>967</v>
      </c>
      <c r="B888" s="13" t="s">
        <v>968</v>
      </c>
      <c r="C888" s="13" t="s">
        <v>1427</v>
      </c>
      <c r="D888" s="11" t="s">
        <v>8</v>
      </c>
      <c r="E888" s="11" t="s">
        <v>8</v>
      </c>
      <c r="F888" s="13" t="s">
        <v>1018</v>
      </c>
      <c r="G888" s="47">
        <v>25</v>
      </c>
      <c r="H888" s="47" cm="1">
        <f t="array" ref="H888">ROUND(G888*IF(OR(MID(A888,5,3)={"BFF","PRK","FPL","LMB","FFI","MET","RIC","FLR","SUG","OIL","DRK","JCE","FEG"}),1.21,IF(OR(MID(A888,5,3)={"FVG","FFR"}),1.33,IF(OR(MID(A888,5,3)={"FBT","FCH","FMK","FYG","MLK","ICE","FRV","FPO","FRF","FCC","BRD"}),1.28,IF(OR(MID(A888,5,3)={"BIS","CRP","HRB","TUR","IND","HYG"}),1.38,1.31)))),2)</f>
        <v>33.25</v>
      </c>
      <c r="I888" s="27">
        <f>(Table1[[#This Row],[SALE PRICE]]-Table1[[#This Row],[COST PRICE]])/Table1[[#This Row],[SALE PRICE]]</f>
        <v>0.24812030075187969</v>
      </c>
      <c r="J888" s="27" t="str">
        <f>IF(Table1[[#This Row],[MARGIN]]&lt;25%, "REVIEW", "OK")</f>
        <v>REVIEW</v>
      </c>
    </row>
    <row r="889" spans="1:10" ht="15.6" x14ac:dyDescent="0.3">
      <c r="A889" s="17" t="s">
        <v>969</v>
      </c>
      <c r="B889" s="12" t="s">
        <v>2303</v>
      </c>
      <c r="C889" s="12" t="s">
        <v>1427</v>
      </c>
      <c r="D889" s="10" t="s">
        <v>8</v>
      </c>
      <c r="E889" s="10" t="s">
        <v>8</v>
      </c>
      <c r="F889" s="12" t="s">
        <v>2305</v>
      </c>
      <c r="G889" s="46">
        <v>2.99</v>
      </c>
      <c r="H889" s="46" cm="1">
        <f t="array" ref="H889">ROUND(G889*IF(OR(MID(A889,5,3)={"BFF","PRK","FPL","LMB","FFI","MET","RIC","FLR","SUG","OIL","DRK","JCE","FEG"}),1.21,IF(OR(MID(A889,5,3)={"FVG","FFR"}),1.33,IF(OR(MID(A889,5,3)={"FBT","FCH","FMK","FYG","MLK","ICE","FRV","FPO","FRF","FCC","BRD"}),1.28,IF(OR(MID(A889,5,3)={"BIS","CRP","HRB","TUR","IND","HYG"}),1.38,1.31)))),2)</f>
        <v>3.98</v>
      </c>
      <c r="I889" s="29">
        <f>(Table1[[#This Row],[SALE PRICE]]-Table1[[#This Row],[COST PRICE]])/Table1[[#This Row],[SALE PRICE]]</f>
        <v>0.24874371859296476</v>
      </c>
      <c r="J889" s="26" t="str">
        <f>IF(Table1[[#This Row],[MARGIN]]&lt;25%, "REVIEW", "OK")</f>
        <v>REVIEW</v>
      </c>
    </row>
    <row r="890" spans="1:10" ht="15.6" x14ac:dyDescent="0.3">
      <c r="A890" s="18" t="s">
        <v>970</v>
      </c>
      <c r="B890" s="13" t="s">
        <v>2304</v>
      </c>
      <c r="C890" s="13" t="s">
        <v>1427</v>
      </c>
      <c r="D890" s="11" t="s">
        <v>8</v>
      </c>
      <c r="E890" s="11" t="s">
        <v>8</v>
      </c>
      <c r="F890" s="13" t="s">
        <v>2305</v>
      </c>
      <c r="G890" s="47">
        <v>2.99</v>
      </c>
      <c r="H890" s="47" cm="1">
        <f t="array" ref="H890">ROUND(G890*IF(OR(MID(A890,5,3)={"BFF","PRK","FPL","LMB","FFI","MET","RIC","FLR","SUG","OIL","DRK","JCE","FEG"}),1.21,IF(OR(MID(A890,5,3)={"FVG","FFR"}),1.33,IF(OR(MID(A890,5,3)={"FBT","FCH","FMK","FYG","MLK","ICE","FRV","FPO","FRF","FCC","BRD"}),1.28,IF(OR(MID(A890,5,3)={"BIS","CRP","HRB","TUR","IND","HYG"}),1.38,1.31)))),2)</f>
        <v>3.98</v>
      </c>
      <c r="I890" s="27">
        <f>(Table1[[#This Row],[SALE PRICE]]-Table1[[#This Row],[COST PRICE]])/Table1[[#This Row],[SALE PRICE]]</f>
        <v>0.24874371859296476</v>
      </c>
      <c r="J890" s="27" t="str">
        <f>IF(Table1[[#This Row],[MARGIN]]&lt;25%, "REVIEW", "OK")</f>
        <v>REVIEW</v>
      </c>
    </row>
    <row r="891" spans="1:10" ht="15.6" x14ac:dyDescent="0.3">
      <c r="A891" s="17" t="s">
        <v>971</v>
      </c>
      <c r="B891" s="12" t="s">
        <v>2306</v>
      </c>
      <c r="C891" s="12" t="s">
        <v>1440</v>
      </c>
      <c r="D891" s="10" t="s">
        <v>8</v>
      </c>
      <c r="E891" s="10" t="s">
        <v>8</v>
      </c>
      <c r="F891" s="12" t="s">
        <v>1065</v>
      </c>
      <c r="G891" s="46">
        <v>2.99</v>
      </c>
      <c r="H891" s="46" cm="1">
        <f t="array" ref="H891">ROUND(G891*IF(OR(MID(A891,5,3)={"BFF","PRK","FPL","LMB","FFI","MET","RIC","FLR","SUG","OIL","DRK","JCE","FEG"}),1.21,IF(OR(MID(A891,5,3)={"FVG","FFR"}),1.33,IF(OR(MID(A891,5,3)={"FBT","FCH","FMK","FYG","MLK","ICE","FRV","FPO","FRF","FCC","BRD"}),1.28,IF(OR(MID(A891,5,3)={"BIS","CRP","HRB","TUR","IND","HYG"}),1.38,1.31)))),2)</f>
        <v>3.98</v>
      </c>
      <c r="I891" s="29">
        <f>(Table1[[#This Row],[SALE PRICE]]-Table1[[#This Row],[COST PRICE]])/Table1[[#This Row],[SALE PRICE]]</f>
        <v>0.24874371859296476</v>
      </c>
      <c r="J891" s="26" t="str">
        <f>IF(Table1[[#This Row],[MARGIN]]&lt;25%, "REVIEW", "OK")</f>
        <v>REVIEW</v>
      </c>
    </row>
    <row r="892" spans="1:10" ht="15.6" x14ac:dyDescent="0.3">
      <c r="A892" s="18" t="s">
        <v>972</v>
      </c>
      <c r="B892" s="13" t="s">
        <v>973</v>
      </c>
      <c r="C892" s="13" t="s">
        <v>1427</v>
      </c>
      <c r="D892" s="11" t="s">
        <v>8</v>
      </c>
      <c r="E892" s="11" t="s">
        <v>8</v>
      </c>
      <c r="F892" s="13" t="s">
        <v>1016</v>
      </c>
      <c r="G892" s="47">
        <v>18</v>
      </c>
      <c r="H892" s="47" cm="1">
        <f t="array" ref="H892">ROUND(G892*IF(OR(MID(A892,5,3)={"BFF","PRK","FPL","LMB","FFI","MET","RIC","FLR","SUG","OIL","DRK","JCE","FEG"}),1.21,IF(OR(MID(A892,5,3)={"FVG","FFR"}),1.33,IF(OR(MID(A892,5,3)={"FBT","FCH","FMK","FYG","MLK","ICE","FRV","FPO","FRF","FCC","BRD"}),1.28,IF(OR(MID(A892,5,3)={"BIS","CRP","HRB","TUR","IND","HYG"}),1.38,1.31)))),2)</f>
        <v>23.94</v>
      </c>
      <c r="I892" s="27">
        <f>(Table1[[#This Row],[SALE PRICE]]-Table1[[#This Row],[COST PRICE]])/Table1[[#This Row],[SALE PRICE]]</f>
        <v>0.24812030075187974</v>
      </c>
      <c r="J892" s="27" t="str">
        <f>IF(Table1[[#This Row],[MARGIN]]&lt;25%, "REVIEW", "OK")</f>
        <v>REVIEW</v>
      </c>
    </row>
    <row r="893" spans="1:10" ht="15.6" x14ac:dyDescent="0.3">
      <c r="A893" s="17" t="s">
        <v>974</v>
      </c>
      <c r="B893" s="12" t="s">
        <v>975</v>
      </c>
      <c r="C893" s="12" t="s">
        <v>1427</v>
      </c>
      <c r="D893" s="10" t="s">
        <v>8</v>
      </c>
      <c r="E893" s="10" t="s">
        <v>8</v>
      </c>
      <c r="F893" s="12" t="s">
        <v>1002</v>
      </c>
      <c r="G893" s="46">
        <v>25</v>
      </c>
      <c r="H893" s="46" cm="1">
        <f t="array" ref="H893">ROUND(G893*IF(OR(MID(A893,5,3)={"BFF","PRK","FPL","LMB","FFI","MET","RIC","FLR","SUG","OIL","DRK","JCE","FEG"}),1.21,IF(OR(MID(A893,5,3)={"FVG","FFR"}),1.33,IF(OR(MID(A893,5,3)={"FBT","FCH","FMK","FYG","MLK","ICE","FRV","FPO","FRF","FCC","BRD"}),1.28,IF(OR(MID(A893,5,3)={"BIS","CRP","HRB","TUR","IND","HYG"}),1.38,1.31)))),2)</f>
        <v>33.25</v>
      </c>
      <c r="I893" s="29">
        <f>(Table1[[#This Row],[SALE PRICE]]-Table1[[#This Row],[COST PRICE]])/Table1[[#This Row],[SALE PRICE]]</f>
        <v>0.24812030075187969</v>
      </c>
      <c r="J893" s="26" t="str">
        <f>IF(Table1[[#This Row],[MARGIN]]&lt;25%, "REVIEW", "OK")</f>
        <v>REVIEW</v>
      </c>
    </row>
    <row r="894" spans="1:10" ht="15.6" x14ac:dyDescent="0.3">
      <c r="A894" s="18" t="s">
        <v>976</v>
      </c>
      <c r="B894" s="13" t="s">
        <v>977</v>
      </c>
      <c r="C894" s="13" t="s">
        <v>1427</v>
      </c>
      <c r="D894" s="11" t="s">
        <v>8</v>
      </c>
      <c r="E894" s="11" t="s">
        <v>8</v>
      </c>
      <c r="F894" s="13" t="s">
        <v>1019</v>
      </c>
      <c r="G894" s="47">
        <v>14</v>
      </c>
      <c r="H894" s="47" cm="1">
        <f t="array" ref="H894">ROUND(G894*IF(OR(MID(A894,5,3)={"BFF","PRK","FPL","LMB","FFI","MET","RIC","FLR","SUG","OIL","DRK","JCE","FEG"}),1.21,IF(OR(MID(A894,5,3)={"FVG","FFR"}),1.33,IF(OR(MID(A894,5,3)={"FBT","FCH","FMK","FYG","MLK","ICE","FRV","FPO","FRF","FCC","BRD"}),1.28,IF(OR(MID(A894,5,3)={"BIS","CRP","HRB","TUR","IND","HYG"}),1.38,1.31)))),2)</f>
        <v>18.62</v>
      </c>
      <c r="I894" s="27">
        <f>(Table1[[#This Row],[SALE PRICE]]-Table1[[#This Row],[COST PRICE]])/Table1[[#This Row],[SALE PRICE]]</f>
        <v>0.24812030075187974</v>
      </c>
      <c r="J894" s="27" t="str">
        <f>IF(Table1[[#This Row],[MARGIN]]&lt;25%, "REVIEW", "OK")</f>
        <v>REVIEW</v>
      </c>
    </row>
    <row r="895" spans="1:10" ht="15.6" x14ac:dyDescent="0.3">
      <c r="A895" s="17" t="s">
        <v>978</v>
      </c>
      <c r="B895" s="12" t="s">
        <v>979</v>
      </c>
      <c r="C895" s="12" t="s">
        <v>1427</v>
      </c>
      <c r="D895" s="10" t="s">
        <v>8</v>
      </c>
      <c r="E895" s="10" t="s">
        <v>8</v>
      </c>
      <c r="F895" s="12" t="s">
        <v>1020</v>
      </c>
      <c r="G895" s="46">
        <v>22</v>
      </c>
      <c r="H895" s="46" cm="1">
        <f t="array" ref="H895">ROUND(G895*IF(OR(MID(A895,5,3)={"BFF","PRK","FPL","LMB","FFI","MET","RIC","FLR","SUG","OIL","DRK","JCE","FEG"}),1.21,IF(OR(MID(A895,5,3)={"FVG","FFR"}),1.33,IF(OR(MID(A895,5,3)={"FBT","FCH","FMK","FYG","MLK","ICE","FRV","FPO","FRF","FCC","BRD"}),1.28,IF(OR(MID(A895,5,3)={"BIS","CRP","HRB","TUR","IND","HYG"}),1.38,1.31)))),2)</f>
        <v>29.26</v>
      </c>
      <c r="I895" s="29">
        <f>(Table1[[#This Row],[SALE PRICE]]-Table1[[#This Row],[COST PRICE]])/Table1[[#This Row],[SALE PRICE]]</f>
        <v>0.24812030075187974</v>
      </c>
      <c r="J895" s="26" t="str">
        <f>IF(Table1[[#This Row],[MARGIN]]&lt;25%, "REVIEW", "OK")</f>
        <v>REVIEW</v>
      </c>
    </row>
    <row r="896" spans="1:10" ht="15.6" x14ac:dyDescent="0.3">
      <c r="A896" s="18" t="s">
        <v>980</v>
      </c>
      <c r="B896" s="13" t="s">
        <v>981</v>
      </c>
      <c r="C896" s="13" t="s">
        <v>1427</v>
      </c>
      <c r="D896" s="11" t="s">
        <v>8</v>
      </c>
      <c r="E896" s="11" t="s">
        <v>8</v>
      </c>
      <c r="F896" s="13" t="s">
        <v>1021</v>
      </c>
      <c r="G896" s="47">
        <v>18</v>
      </c>
      <c r="H896" s="47" cm="1">
        <f t="array" ref="H896">ROUND(G896*IF(OR(MID(A896,5,3)={"BFF","PRK","FPL","LMB","FFI","MET","RIC","FLR","SUG","OIL","DRK","JCE","FEG"}),1.21,IF(OR(MID(A896,5,3)={"FVG","FFR"}),1.33,IF(OR(MID(A896,5,3)={"FBT","FCH","FMK","FYG","MLK","ICE","FRV","FPO","FRF","FCC","BRD"}),1.28,IF(OR(MID(A896,5,3)={"BIS","CRP","HRB","TUR","IND","HYG"}),1.38,1.31)))),2)</f>
        <v>23.94</v>
      </c>
      <c r="I896" s="27">
        <f>(Table1[[#This Row],[SALE PRICE]]-Table1[[#This Row],[COST PRICE]])/Table1[[#This Row],[SALE PRICE]]</f>
        <v>0.24812030075187974</v>
      </c>
      <c r="J896" s="27" t="str">
        <f>IF(Table1[[#This Row],[MARGIN]]&lt;25%, "REVIEW", "OK")</f>
        <v>REVIEW</v>
      </c>
    </row>
    <row r="897" spans="1:10" ht="15.6" x14ac:dyDescent="0.3">
      <c r="A897" s="17" t="s">
        <v>982</v>
      </c>
      <c r="B897" s="12" t="s">
        <v>983</v>
      </c>
      <c r="C897" s="12" t="s">
        <v>1440</v>
      </c>
      <c r="D897" s="10" t="s">
        <v>8</v>
      </c>
      <c r="E897" s="10" t="s">
        <v>8</v>
      </c>
      <c r="F897" s="12" t="s">
        <v>1022</v>
      </c>
      <c r="G897" s="46">
        <v>32</v>
      </c>
      <c r="H897" s="46" cm="1">
        <f t="array" ref="H897">ROUND(G897*IF(OR(MID(A897,5,3)={"BFF","PRK","FPL","LMB","FFI","MET","RIC","FLR","SUG","OIL","DRK","JCE","FEG"}),1.21,IF(OR(MID(A897,5,3)={"FVG","FFR"}),1.33,IF(OR(MID(A897,5,3)={"FBT","FCH","FMK","FYG","MLK","ICE","FRV","FPO","FRF","FCC","BRD"}),1.28,IF(OR(MID(A897,5,3)={"BIS","CRP","HRB","TUR","IND","HYG"}),1.38,1.31)))),2)</f>
        <v>42.56</v>
      </c>
      <c r="I897" s="29">
        <f>(Table1[[#This Row],[SALE PRICE]]-Table1[[#This Row],[COST PRICE]])/Table1[[#This Row],[SALE PRICE]]</f>
        <v>0.24812030075187974</v>
      </c>
      <c r="J897" s="26" t="str">
        <f>IF(Table1[[#This Row],[MARGIN]]&lt;25%, "REVIEW", "OK")</f>
        <v>REVIEW</v>
      </c>
    </row>
    <row r="898" spans="1:10" ht="15.6" x14ac:dyDescent="0.3">
      <c r="A898" s="18" t="s">
        <v>984</v>
      </c>
      <c r="B898" s="13" t="s">
        <v>2299</v>
      </c>
      <c r="C898" s="13" t="s">
        <v>1427</v>
      </c>
      <c r="D898" s="11" t="s">
        <v>8</v>
      </c>
      <c r="E898" s="11" t="s">
        <v>8</v>
      </c>
      <c r="F898" s="13" t="s">
        <v>1065</v>
      </c>
      <c r="G898" s="47">
        <v>4.99</v>
      </c>
      <c r="H898" s="47" cm="1">
        <f t="array" ref="H898">ROUND(G898*IF(OR(MID(A898,5,3)={"BFF","PRK","FPL","LMB","FFI","MET","RIC","FLR","SUG","OIL","DRK","JCE","FEG"}),1.21,IF(OR(MID(A898,5,3)={"FVG","FFR"}),1.33,IF(OR(MID(A898,5,3)={"FBT","FCH","FMK","FYG","MLK","ICE","FRV","FPO","FRF","FCC","BRD"}),1.28,IF(OR(MID(A898,5,3)={"BIS","CRP","HRB","TUR","IND","HYG"}),1.38,1.31)))),2)</f>
        <v>6.64</v>
      </c>
      <c r="I898" s="27">
        <f>(Table1[[#This Row],[SALE PRICE]]-Table1[[#This Row],[COST PRICE]])/Table1[[#This Row],[SALE PRICE]]</f>
        <v>0.24849397590361438</v>
      </c>
      <c r="J898" s="27" t="str">
        <f>IF(Table1[[#This Row],[MARGIN]]&lt;25%, "REVIEW", "OK")</f>
        <v>REVIEW</v>
      </c>
    </row>
    <row r="899" spans="1:10" ht="15.6" x14ac:dyDescent="0.3">
      <c r="A899" s="17" t="s">
        <v>985</v>
      </c>
      <c r="B899" s="12" t="s">
        <v>986</v>
      </c>
      <c r="C899" s="12" t="s">
        <v>1427</v>
      </c>
      <c r="D899" s="10" t="s">
        <v>8</v>
      </c>
      <c r="E899" s="10" t="s">
        <v>8</v>
      </c>
      <c r="F899" s="12" t="s">
        <v>1023</v>
      </c>
      <c r="G899" s="46">
        <v>16</v>
      </c>
      <c r="H899" s="46" cm="1">
        <f t="array" ref="H899">ROUND(G899*IF(OR(MID(A899,5,3)={"BFF","PRK","FPL","LMB","FFI","MET","RIC","FLR","SUG","OIL","DRK","JCE","FEG"}),1.21,IF(OR(MID(A899,5,3)={"FVG","FFR"}),1.33,IF(OR(MID(A899,5,3)={"FBT","FCH","FMK","FYG","MLK","ICE","FRV","FPO","FRF","FCC","BRD"}),1.28,IF(OR(MID(A899,5,3)={"BIS","CRP","HRB","TUR","IND","HYG"}),1.38,1.31)))),2)</f>
        <v>21.28</v>
      </c>
      <c r="I899" s="29">
        <f>(Table1[[#This Row],[SALE PRICE]]-Table1[[#This Row],[COST PRICE]])/Table1[[#This Row],[SALE PRICE]]</f>
        <v>0.24812030075187974</v>
      </c>
      <c r="J899" s="26" t="str">
        <f>IF(Table1[[#This Row],[MARGIN]]&lt;25%, "REVIEW", "OK")</f>
        <v>REVIEW</v>
      </c>
    </row>
    <row r="900" spans="1:10" ht="15.6" x14ac:dyDescent="0.3">
      <c r="A900" s="18" t="s">
        <v>987</v>
      </c>
      <c r="B900" s="13" t="s">
        <v>2300</v>
      </c>
      <c r="C900" s="13" t="s">
        <v>1440</v>
      </c>
      <c r="D900" s="11" t="s">
        <v>8</v>
      </c>
      <c r="E900" s="11" t="s">
        <v>8</v>
      </c>
      <c r="F900" s="13" t="s">
        <v>2301</v>
      </c>
      <c r="G900" s="47">
        <v>2.59</v>
      </c>
      <c r="H900" s="47" cm="1">
        <f t="array" ref="H900">ROUND(G900*IF(OR(MID(A900,5,3)={"BFF","PRK","FPL","LMB","FFI","MET","RIC","FLR","SUG","OIL","DRK","JCE","FEG"}),1.21,IF(OR(MID(A900,5,3)={"FVG","FFR"}),1.33,IF(OR(MID(A900,5,3)={"FBT","FCH","FMK","FYG","MLK","ICE","FRV","FPO","FRF","FCC","BRD"}),1.28,IF(OR(MID(A900,5,3)={"BIS","CRP","HRB","TUR","IND","HYG"}),1.38,1.31)))),2)</f>
        <v>3.44</v>
      </c>
      <c r="I900" s="27">
        <f>(Table1[[#This Row],[SALE PRICE]]-Table1[[#This Row],[COST PRICE]])/Table1[[#This Row],[SALE PRICE]]</f>
        <v>0.24709302325581398</v>
      </c>
      <c r="J900" s="27" t="str">
        <f>IF(Table1[[#This Row],[MARGIN]]&lt;25%, "REVIEW", "OK")</f>
        <v>REVIEW</v>
      </c>
    </row>
    <row r="901" spans="1:10" ht="15.6" x14ac:dyDescent="0.3">
      <c r="A901" s="18" t="s">
        <v>988</v>
      </c>
      <c r="B901" s="13" t="s">
        <v>989</v>
      </c>
      <c r="C901" s="13" t="s">
        <v>1430</v>
      </c>
      <c r="D901" s="11" t="s">
        <v>8</v>
      </c>
      <c r="E901" s="11" t="s">
        <v>8</v>
      </c>
      <c r="F901" s="13" t="s">
        <v>1024</v>
      </c>
      <c r="G901" s="47">
        <v>4.75</v>
      </c>
      <c r="H901" s="47" cm="1">
        <f t="array" ref="H901">ROUND(G901*IF(OR(MID(A901,5,3)={"BFF","PRK","FPL","LMB","FFI","MET","RIC","FLR","SUG","OIL","DRK","JCE","FEG"}),1.21,IF(OR(MID(A901,5,3)={"FVG","FFR"}),1.33,IF(OR(MID(A901,5,3)={"FBT","FCH","FMK","FYG","MLK","ICE","FRV","FPO","FRF","FCC","BRD"}),1.28,IF(OR(MID(A901,5,3)={"BIS","CRP","HRB","TUR","IND","HYG"}),1.38,1.31)))),2)</f>
        <v>6.32</v>
      </c>
      <c r="I901" s="27">
        <f>(Table1[[#This Row],[SALE PRICE]]-Table1[[#This Row],[COST PRICE]])/Table1[[#This Row],[SALE PRICE]]</f>
        <v>0.24841772151898739</v>
      </c>
      <c r="J901" s="27" t="str">
        <f>IF(Table1[[#This Row],[MARGIN]]&lt;25%, "REVIEW", "OK")</f>
        <v>REVIEW</v>
      </c>
    </row>
    <row r="902" spans="1:10" ht="15.6" x14ac:dyDescent="0.3">
      <c r="A902" s="17" t="s">
        <v>990</v>
      </c>
      <c r="B902" s="12" t="s">
        <v>2302</v>
      </c>
      <c r="C902" s="12" t="s">
        <v>1440</v>
      </c>
      <c r="D902" s="10" t="s">
        <v>8</v>
      </c>
      <c r="E902" s="10" t="s">
        <v>8</v>
      </c>
      <c r="F902" s="12" t="s">
        <v>995</v>
      </c>
      <c r="G902" s="46">
        <v>5</v>
      </c>
      <c r="H902" s="46" cm="1">
        <f t="array" ref="H902">ROUND(G902*IF(OR(MID(A902,5,3)={"BFF","PRK","FPL","LMB","FFI","MET","RIC","FLR","SUG","OIL","DRK","JCE","FEG"}),1.21,IF(OR(MID(A902,5,3)={"FVG","FFR"}),1.33,IF(OR(MID(A902,5,3)={"FBT","FCH","FMK","FYG","MLK","ICE","FRV","FPO","FRF","FCC","BRD"}),1.28,IF(OR(MID(A902,5,3)={"BIS","CRP","HRB","TUR","IND","HYG"}),1.38,1.31)))),2)</f>
        <v>6.65</v>
      </c>
      <c r="I902" s="29">
        <f>(Table1[[#This Row],[SALE PRICE]]-Table1[[#This Row],[COST PRICE]])/Table1[[#This Row],[SALE PRICE]]</f>
        <v>0.24812030075187974</v>
      </c>
      <c r="J902" s="26" t="str">
        <f>IF(Table1[[#This Row],[MARGIN]]&lt;25%, "REVIEW", "OK")</f>
        <v>REVIEW</v>
      </c>
    </row>
    <row r="903" spans="1:10" ht="15.6" x14ac:dyDescent="0.3">
      <c r="A903" s="17" t="s">
        <v>1581</v>
      </c>
      <c r="B903" s="12" t="s">
        <v>1882</v>
      </c>
      <c r="C903" s="12" t="s">
        <v>1427</v>
      </c>
      <c r="D903" s="10"/>
      <c r="E903" s="10"/>
      <c r="F903" s="12" t="s">
        <v>1883</v>
      </c>
      <c r="G903" s="46">
        <v>10</v>
      </c>
      <c r="H903" s="46" cm="1">
        <f t="array" ref="H903">ROUND(G903*IF(OR(MID(A903,5,3)={"BFF","PRK","FPL","LMB","FFI","MET","RIC","FLR","SUG","OIL","DRK","JCE","FEG"}),1.21,IF(OR(MID(A903,5,3)={"FVG","FFR"}),1.33,IF(OR(MID(A903,5,3)={"FBT","FCH","FMK","FYG","MLK","ICE","FRV","FPO","FRF","FCC","BRD"}),1.28,IF(OR(MID(A903,5,3)={"BIS","CRP","HRB","TUR","IND","HYG"}),1.38,1.31)))),2)</f>
        <v>13.3</v>
      </c>
      <c r="I903" s="27">
        <f>(Table1[[#This Row],[SALE PRICE]]-Table1[[#This Row],[COST PRICE]])/Table1[[#This Row],[SALE PRICE]]</f>
        <v>0.24812030075187974</v>
      </c>
      <c r="J903" s="27" t="str">
        <f>IF(Table1[[#This Row],[MARGIN]]&lt;25%, "REVIEW", "OK")</f>
        <v>REVIEW</v>
      </c>
    </row>
    <row r="904" spans="1:10" ht="15.6" x14ac:dyDescent="0.3">
      <c r="A904" s="23" t="s">
        <v>1582</v>
      </c>
      <c r="B904" s="24" t="s">
        <v>1884</v>
      </c>
      <c r="C904" s="24" t="s">
        <v>1439</v>
      </c>
      <c r="D904" s="25"/>
      <c r="E904" s="25"/>
      <c r="F904" s="24" t="s">
        <v>1885</v>
      </c>
      <c r="G904" s="49">
        <v>4.8</v>
      </c>
      <c r="H904" s="49" cm="1">
        <f t="array" ref="H904">ROUND(G904*IF(OR(MID(A904,5,3)={"BFF","PRK","FPL","LMB","FFI","MET","RIC","FLR","SUG","OIL","DRK","JCE","FEG"}),1.21,IF(OR(MID(A904,5,3)={"FVG","FFR"}),1.33,IF(OR(MID(A904,5,3)={"FBT","FCH","FMK","FYG","MLK","ICE","FRV","FPO","FRF","FCC","BRD"}),1.28,IF(OR(MID(A904,5,3)={"BIS","CRP","HRB","TUR","IND","HYG"}),1.38,1.31)))),2)</f>
        <v>6.38</v>
      </c>
      <c r="I904" s="29">
        <f>(Table1[[#This Row],[SALE PRICE]]-Table1[[#This Row],[COST PRICE]])/Table1[[#This Row],[SALE PRICE]]</f>
        <v>0.24764890282131663</v>
      </c>
      <c r="J904" s="26" t="str">
        <f>IF(Table1[[#This Row],[MARGIN]]&lt;25%, "REVIEW", "OK")</f>
        <v>REVIEW</v>
      </c>
    </row>
    <row r="905" spans="1:10" ht="15.6" x14ac:dyDescent="0.3">
      <c r="A905" s="10"/>
      <c r="B905" s="12"/>
      <c r="C905" s="12"/>
      <c r="D905" s="10"/>
      <c r="E905" s="10"/>
      <c r="F905" s="12"/>
      <c r="G905" s="46"/>
      <c r="H905" s="46"/>
      <c r="I905" s="27"/>
      <c r="J905" s="27"/>
    </row>
    <row r="906" spans="1:10" ht="15.6" x14ac:dyDescent="0.3">
      <c r="A906" s="20" t="s">
        <v>0</v>
      </c>
      <c r="B906" s="21" t="s">
        <v>1</v>
      </c>
      <c r="C906" s="21" t="s">
        <v>1425</v>
      </c>
      <c r="D906" s="21" t="s">
        <v>2</v>
      </c>
      <c r="E906" s="21" t="s">
        <v>3</v>
      </c>
      <c r="F906" s="21" t="s">
        <v>4</v>
      </c>
      <c r="G906" s="50" t="s">
        <v>5</v>
      </c>
      <c r="H906" s="50" t="s">
        <v>6</v>
      </c>
      <c r="I906" s="22" t="s">
        <v>1892</v>
      </c>
      <c r="J906" s="28" t="s">
        <v>1893</v>
      </c>
    </row>
    <row r="907" spans="1:10" ht="15.6" x14ac:dyDescent="0.3">
      <c r="A907" s="12" t="s">
        <v>1894</v>
      </c>
      <c r="B907" s="12" t="s">
        <v>1902</v>
      </c>
      <c r="C907" s="12" t="s">
        <v>1430</v>
      </c>
      <c r="D907" s="10"/>
      <c r="E907" s="10"/>
      <c r="F907" s="12"/>
      <c r="G907" s="46">
        <v>0.99</v>
      </c>
      <c r="H907" s="46">
        <f t="shared" ref="H907:H970" si="0">IF(G907&lt;=5,G907*1.6,
IF(G907&lt;=10,G907*1.55,
IF(G907&lt;=25,G907*1.5,
IF(G907&lt;=50,G907*1.4,
IF(G907&lt;=100,G907*1.4,
G907*1.4)))))</f>
        <v>1.5840000000000001</v>
      </c>
      <c r="I907" s="29">
        <f>(Table4[[#This Row],[SALE PRICE]]-Table4[[#This Row],[COST PRICE]])/Table4[[#This Row],[SALE PRICE]]</f>
        <v>0.37500000000000006</v>
      </c>
      <c r="J907" s="26" t="str">
        <f>IF(Table4[[#This Row],[MARGIN]]&lt;25%, "REVIEW", "OK")</f>
        <v>OK</v>
      </c>
    </row>
    <row r="908" spans="1:10" ht="15.6" x14ac:dyDescent="0.3">
      <c r="A908" s="13" t="s">
        <v>1903</v>
      </c>
      <c r="B908" s="13" t="s">
        <v>1925</v>
      </c>
      <c r="C908" s="13" t="s">
        <v>1430</v>
      </c>
      <c r="D908" s="11"/>
      <c r="E908" s="11"/>
      <c r="F908" s="13"/>
      <c r="G908" s="47">
        <v>1.19</v>
      </c>
      <c r="H908" s="47">
        <f t="shared" si="0"/>
        <v>1.9039999999999999</v>
      </c>
      <c r="I908" s="43">
        <f>(Table4[[#This Row],[SALE PRICE]]-Table4[[#This Row],[COST PRICE]])/Table4[[#This Row],[SALE PRICE]]</f>
        <v>0.375</v>
      </c>
      <c r="J908" s="26" t="str">
        <f>IF(Table4[[#This Row],[MARGIN]]&lt;25%, "REVIEW", "OK")</f>
        <v>OK</v>
      </c>
    </row>
    <row r="909" spans="1:10" ht="15.6" x14ac:dyDescent="0.3">
      <c r="A909" s="12" t="s">
        <v>1904</v>
      </c>
      <c r="B909" s="12" t="s">
        <v>1926</v>
      </c>
      <c r="C909" s="12" t="s">
        <v>1430</v>
      </c>
      <c r="D909" s="10"/>
      <c r="E909" s="10"/>
      <c r="F909" s="12"/>
      <c r="G909" s="46">
        <v>3.99</v>
      </c>
      <c r="H909" s="46">
        <f t="shared" si="0"/>
        <v>6.3840000000000003</v>
      </c>
      <c r="I909" s="29">
        <f>(Table4[[#This Row],[SALE PRICE]]-Table4[[#This Row],[COST PRICE]])/Table4[[#This Row],[SALE PRICE]]</f>
        <v>0.375</v>
      </c>
      <c r="J909" s="26" t="str">
        <f>IF(Table4[[#This Row],[MARGIN]]&lt;25%, "REVIEW", "OK")</f>
        <v>OK</v>
      </c>
    </row>
    <row r="910" spans="1:10" ht="15.6" x14ac:dyDescent="0.3">
      <c r="A910" s="13" t="s">
        <v>1905</v>
      </c>
      <c r="B910" s="13" t="s">
        <v>1927</v>
      </c>
      <c r="C910" s="13" t="s">
        <v>1430</v>
      </c>
      <c r="D910" s="11"/>
      <c r="E910" s="11"/>
      <c r="F910" s="13"/>
      <c r="G910" s="47">
        <v>2.19</v>
      </c>
      <c r="H910" s="47">
        <f t="shared" si="0"/>
        <v>3.504</v>
      </c>
      <c r="I910" s="43">
        <f>(Table4[[#This Row],[SALE PRICE]]-Table4[[#This Row],[COST PRICE]])/Table4[[#This Row],[SALE PRICE]]</f>
        <v>0.375</v>
      </c>
      <c r="J910" s="26" t="str">
        <f>IF(Table4[[#This Row],[MARGIN]]&lt;25%, "REVIEW", "OK")</f>
        <v>OK</v>
      </c>
    </row>
    <row r="911" spans="1:10" ht="15.6" x14ac:dyDescent="0.3">
      <c r="A911" s="12" t="s">
        <v>1906</v>
      </c>
      <c r="B911" s="12" t="s">
        <v>1928</v>
      </c>
      <c r="C911" s="12" t="s">
        <v>1430</v>
      </c>
      <c r="D911" s="10"/>
      <c r="E911" s="10"/>
      <c r="F911" s="12"/>
      <c r="G911" s="46">
        <v>3.19</v>
      </c>
      <c r="H911" s="46">
        <f t="shared" si="0"/>
        <v>5.1040000000000001</v>
      </c>
      <c r="I911" s="29">
        <f>(Table4[[#This Row],[SALE PRICE]]-Table4[[#This Row],[COST PRICE]])/Table4[[#This Row],[SALE PRICE]]</f>
        <v>0.375</v>
      </c>
      <c r="J911" s="26" t="str">
        <f>IF(Table4[[#This Row],[MARGIN]]&lt;25%, "REVIEW", "OK")</f>
        <v>OK</v>
      </c>
    </row>
    <row r="912" spans="1:10" ht="15.6" x14ac:dyDescent="0.3">
      <c r="A912" s="13" t="s">
        <v>1907</v>
      </c>
      <c r="B912" s="13" t="s">
        <v>1929</v>
      </c>
      <c r="C912" s="13" t="s">
        <v>1430</v>
      </c>
      <c r="D912" s="11"/>
      <c r="E912" s="11"/>
      <c r="F912" s="13"/>
      <c r="G912" s="47">
        <v>1.79</v>
      </c>
      <c r="H912" s="47">
        <f t="shared" si="0"/>
        <v>2.8640000000000003</v>
      </c>
      <c r="I912" s="43">
        <f>(Table4[[#This Row],[SALE PRICE]]-Table4[[#This Row],[COST PRICE]])/Table4[[#This Row],[SALE PRICE]]</f>
        <v>0.37500000000000006</v>
      </c>
      <c r="J912" s="26" t="str">
        <f>IF(Table4[[#This Row],[MARGIN]]&lt;25%, "REVIEW", "OK")</f>
        <v>OK</v>
      </c>
    </row>
    <row r="913" spans="1:10" ht="15.6" x14ac:dyDescent="0.3">
      <c r="A913" s="12" t="s">
        <v>1908</v>
      </c>
      <c r="B913" s="12" t="s">
        <v>1930</v>
      </c>
      <c r="C913" s="12" t="s">
        <v>1430</v>
      </c>
      <c r="D913" s="10"/>
      <c r="E913" s="10"/>
      <c r="F913" s="12"/>
      <c r="G913" s="46">
        <v>3.19</v>
      </c>
      <c r="H913" s="46">
        <f t="shared" si="0"/>
        <v>5.1040000000000001</v>
      </c>
      <c r="I913" s="29">
        <f>(Table4[[#This Row],[SALE PRICE]]-Table4[[#This Row],[COST PRICE]])/Table4[[#This Row],[SALE PRICE]]</f>
        <v>0.375</v>
      </c>
      <c r="J913" s="26" t="str">
        <f>IF(Table4[[#This Row],[MARGIN]]&lt;25%, "REVIEW", "OK")</f>
        <v>OK</v>
      </c>
    </row>
    <row r="914" spans="1:10" ht="15.6" x14ac:dyDescent="0.3">
      <c r="A914" s="13" t="s">
        <v>1909</v>
      </c>
      <c r="B914" s="13" t="s">
        <v>2053</v>
      </c>
      <c r="C914" s="13" t="s">
        <v>1426</v>
      </c>
      <c r="D914" s="11"/>
      <c r="E914" s="11"/>
      <c r="F914" s="13"/>
      <c r="G914" s="47">
        <v>0.99</v>
      </c>
      <c r="H914" s="47">
        <f t="shared" si="0"/>
        <v>1.5840000000000001</v>
      </c>
      <c r="I914" s="43">
        <f>(Table4[[#This Row],[SALE PRICE]]-Table4[[#This Row],[COST PRICE]])/Table4[[#This Row],[SALE PRICE]]</f>
        <v>0.37500000000000006</v>
      </c>
      <c r="J914" s="26" t="str">
        <f>IF(Table4[[#This Row],[MARGIN]]&lt;25%, "REVIEW", "OK")</f>
        <v>OK</v>
      </c>
    </row>
    <row r="915" spans="1:10" ht="15.6" x14ac:dyDescent="0.3">
      <c r="A915" s="12" t="s">
        <v>1910</v>
      </c>
      <c r="B915" s="12" t="s">
        <v>2054</v>
      </c>
      <c r="C915" s="12" t="s">
        <v>1426</v>
      </c>
      <c r="D915" s="10"/>
      <c r="E915" s="10"/>
      <c r="F915" s="12"/>
      <c r="G915" s="46">
        <v>0.99</v>
      </c>
      <c r="H915" s="46">
        <f t="shared" si="0"/>
        <v>1.5840000000000001</v>
      </c>
      <c r="I915" s="29">
        <f>(Table4[[#This Row],[SALE PRICE]]-Table4[[#This Row],[COST PRICE]])/Table4[[#This Row],[SALE PRICE]]</f>
        <v>0.37500000000000006</v>
      </c>
      <c r="J915" s="26" t="str">
        <f>IF(Table4[[#This Row],[MARGIN]]&lt;25%, "REVIEW", "OK")</f>
        <v>OK</v>
      </c>
    </row>
    <row r="916" spans="1:10" ht="15.6" x14ac:dyDescent="0.3">
      <c r="A916" s="13" t="s">
        <v>1911</v>
      </c>
      <c r="B916" s="13" t="s">
        <v>2055</v>
      </c>
      <c r="C916" s="13" t="s">
        <v>1426</v>
      </c>
      <c r="D916" s="11"/>
      <c r="E916" s="11"/>
      <c r="F916" s="13"/>
      <c r="G916" s="47">
        <v>0.99</v>
      </c>
      <c r="H916" s="47">
        <f t="shared" si="0"/>
        <v>1.5840000000000001</v>
      </c>
      <c r="I916" s="43">
        <f>(Table4[[#This Row],[SALE PRICE]]-Table4[[#This Row],[COST PRICE]])/Table4[[#This Row],[SALE PRICE]]</f>
        <v>0.37500000000000006</v>
      </c>
      <c r="J916" s="26" t="str">
        <f>IF(Table4[[#This Row],[MARGIN]]&lt;25%, "REVIEW", "OK")</f>
        <v>OK</v>
      </c>
    </row>
    <row r="917" spans="1:10" ht="15.6" x14ac:dyDescent="0.3">
      <c r="A917" s="12" t="s">
        <v>1912</v>
      </c>
      <c r="B917" s="12" t="s">
        <v>2056</v>
      </c>
      <c r="C917" s="12" t="s">
        <v>1426</v>
      </c>
      <c r="D917" s="10"/>
      <c r="E917" s="10"/>
      <c r="F917" s="12"/>
      <c r="G917" s="46">
        <v>0.99</v>
      </c>
      <c r="H917" s="46">
        <f t="shared" si="0"/>
        <v>1.5840000000000001</v>
      </c>
      <c r="I917" s="29">
        <f>(Table4[[#This Row],[SALE PRICE]]-Table4[[#This Row],[COST PRICE]])/Table4[[#This Row],[SALE PRICE]]</f>
        <v>0.37500000000000006</v>
      </c>
      <c r="J917" s="26" t="str">
        <f>IF(Table4[[#This Row],[MARGIN]]&lt;25%, "REVIEW", "OK")</f>
        <v>OK</v>
      </c>
    </row>
    <row r="918" spans="1:10" ht="15.6" x14ac:dyDescent="0.3">
      <c r="A918" s="13" t="s">
        <v>1913</v>
      </c>
      <c r="B918" s="13" t="s">
        <v>2057</v>
      </c>
      <c r="C918" s="13" t="s">
        <v>1430</v>
      </c>
      <c r="D918" s="11"/>
      <c r="E918" s="11"/>
      <c r="F918" s="13"/>
      <c r="G918" s="47">
        <v>2.59</v>
      </c>
      <c r="H918" s="47">
        <f t="shared" si="0"/>
        <v>4.1440000000000001</v>
      </c>
      <c r="I918" s="43">
        <f>(Table4[[#This Row],[SALE PRICE]]-Table4[[#This Row],[COST PRICE]])/Table4[[#This Row],[SALE PRICE]]</f>
        <v>0.37500000000000006</v>
      </c>
      <c r="J918" s="26" t="str">
        <f>IF(Table4[[#This Row],[MARGIN]]&lt;25%, "REVIEW", "OK")</f>
        <v>OK</v>
      </c>
    </row>
    <row r="919" spans="1:10" ht="15.6" x14ac:dyDescent="0.3">
      <c r="A919" s="12" t="s">
        <v>1914</v>
      </c>
      <c r="B919" s="12" t="s">
        <v>2058</v>
      </c>
      <c r="C919" s="12" t="s">
        <v>1430</v>
      </c>
      <c r="D919" s="10"/>
      <c r="E919" s="10"/>
      <c r="F919" s="12"/>
      <c r="G919" s="46">
        <v>1.79</v>
      </c>
      <c r="H919" s="46">
        <f t="shared" si="0"/>
        <v>2.8640000000000003</v>
      </c>
      <c r="I919" s="29">
        <f>(Table4[[#This Row],[SALE PRICE]]-Table4[[#This Row],[COST PRICE]])/Table4[[#This Row],[SALE PRICE]]</f>
        <v>0.37500000000000006</v>
      </c>
      <c r="J919" s="26" t="str">
        <f>IF(Table4[[#This Row],[MARGIN]]&lt;25%, "REVIEW", "OK")</f>
        <v>OK</v>
      </c>
    </row>
    <row r="920" spans="1:10" ht="31.2" x14ac:dyDescent="0.3">
      <c r="A920" s="13" t="s">
        <v>1915</v>
      </c>
      <c r="B920" s="13" t="s">
        <v>2059</v>
      </c>
      <c r="C920" s="13" t="s">
        <v>1430</v>
      </c>
      <c r="D920" s="11"/>
      <c r="E920" s="11"/>
      <c r="F920" s="13"/>
      <c r="G920" s="47">
        <v>2.19</v>
      </c>
      <c r="H920" s="47">
        <f t="shared" si="0"/>
        <v>3.504</v>
      </c>
      <c r="I920" s="43">
        <f>(Table4[[#This Row],[SALE PRICE]]-Table4[[#This Row],[COST PRICE]])/Table4[[#This Row],[SALE PRICE]]</f>
        <v>0.375</v>
      </c>
      <c r="J920" s="26" t="str">
        <f>IF(Table4[[#This Row],[MARGIN]]&lt;25%, "REVIEW", "OK")</f>
        <v>OK</v>
      </c>
    </row>
    <row r="921" spans="1:10" ht="15.6" x14ac:dyDescent="0.3">
      <c r="A921" s="12" t="s">
        <v>1916</v>
      </c>
      <c r="B921" s="12" t="s">
        <v>2060</v>
      </c>
      <c r="C921" s="12" t="s">
        <v>1430</v>
      </c>
      <c r="D921" s="10"/>
      <c r="E921" s="10"/>
      <c r="F921" s="12"/>
      <c r="G921" s="46">
        <v>1.89</v>
      </c>
      <c r="H921" s="46">
        <f t="shared" si="0"/>
        <v>3.024</v>
      </c>
      <c r="I921" s="29">
        <f>(Table4[[#This Row],[SALE PRICE]]-Table4[[#This Row],[COST PRICE]])/Table4[[#This Row],[SALE PRICE]]</f>
        <v>0.37500000000000006</v>
      </c>
      <c r="J921" s="26" t="str">
        <f>IF(Table4[[#This Row],[MARGIN]]&lt;25%, "REVIEW", "OK")</f>
        <v>OK</v>
      </c>
    </row>
    <row r="922" spans="1:10" ht="31.2" x14ac:dyDescent="0.3">
      <c r="A922" s="13" t="s">
        <v>1917</v>
      </c>
      <c r="B922" s="13" t="s">
        <v>2061</v>
      </c>
      <c r="C922" s="13" t="s">
        <v>1430</v>
      </c>
      <c r="D922" s="11"/>
      <c r="E922" s="11"/>
      <c r="F922" s="13"/>
      <c r="G922" s="47">
        <v>1.69</v>
      </c>
      <c r="H922" s="47">
        <f t="shared" si="0"/>
        <v>2.7040000000000002</v>
      </c>
      <c r="I922" s="43">
        <f>(Table4[[#This Row],[SALE PRICE]]-Table4[[#This Row],[COST PRICE]])/Table4[[#This Row],[SALE PRICE]]</f>
        <v>0.37500000000000006</v>
      </c>
      <c r="J922" s="26" t="str">
        <f>IF(Table4[[#This Row],[MARGIN]]&lt;25%, "REVIEW", "OK")</f>
        <v>OK</v>
      </c>
    </row>
    <row r="923" spans="1:10" ht="15.6" x14ac:dyDescent="0.3">
      <c r="A923" s="12" t="s">
        <v>1918</v>
      </c>
      <c r="B923" s="12" t="s">
        <v>2062</v>
      </c>
      <c r="C923" s="12" t="s">
        <v>1430</v>
      </c>
      <c r="D923" s="10"/>
      <c r="E923" s="10"/>
      <c r="F923" s="12"/>
      <c r="G923" s="46">
        <v>0.49</v>
      </c>
      <c r="H923" s="46">
        <f t="shared" si="0"/>
        <v>0.78400000000000003</v>
      </c>
      <c r="I923" s="29">
        <f>(Table4[[#This Row],[SALE PRICE]]-Table4[[#This Row],[COST PRICE]])/Table4[[#This Row],[SALE PRICE]]</f>
        <v>0.37500000000000006</v>
      </c>
      <c r="J923" s="26" t="str">
        <f>IF(Table4[[#This Row],[MARGIN]]&lt;25%, "REVIEW", "OK")</f>
        <v>OK</v>
      </c>
    </row>
    <row r="924" spans="1:10" ht="15.6" x14ac:dyDescent="0.3">
      <c r="A924" s="13" t="s">
        <v>1919</v>
      </c>
      <c r="B924" s="13" t="s">
        <v>2063</v>
      </c>
      <c r="C924" s="13" t="s">
        <v>1430</v>
      </c>
      <c r="D924" s="11"/>
      <c r="E924" s="11"/>
      <c r="F924" s="13"/>
      <c r="G924" s="47">
        <v>2.29</v>
      </c>
      <c r="H924" s="47">
        <f t="shared" si="0"/>
        <v>3.6640000000000001</v>
      </c>
      <c r="I924" s="43">
        <f>(Table4[[#This Row],[SALE PRICE]]-Table4[[#This Row],[COST PRICE]])/Table4[[#This Row],[SALE PRICE]]</f>
        <v>0.375</v>
      </c>
      <c r="J924" s="26" t="str">
        <f>IF(Table4[[#This Row],[MARGIN]]&lt;25%, "REVIEW", "OK")</f>
        <v>OK</v>
      </c>
    </row>
    <row r="925" spans="1:10" ht="31.2" x14ac:dyDescent="0.3">
      <c r="A925" s="12" t="s">
        <v>1920</v>
      </c>
      <c r="B925" s="12" t="s">
        <v>2064</v>
      </c>
      <c r="C925" s="12" t="s">
        <v>1426</v>
      </c>
      <c r="D925" s="10"/>
      <c r="E925" s="10"/>
      <c r="F925" s="12"/>
      <c r="G925" s="46">
        <v>1.49</v>
      </c>
      <c r="H925" s="46">
        <f t="shared" si="0"/>
        <v>2.3839999999999999</v>
      </c>
      <c r="I925" s="29">
        <f>(Table4[[#This Row],[SALE PRICE]]-Table4[[#This Row],[COST PRICE]])/Table4[[#This Row],[SALE PRICE]]</f>
        <v>0.375</v>
      </c>
      <c r="J925" s="26" t="str">
        <f>IF(Table4[[#This Row],[MARGIN]]&lt;25%, "REVIEW", "OK")</f>
        <v>OK</v>
      </c>
    </row>
    <row r="926" spans="1:10" ht="15.6" x14ac:dyDescent="0.3">
      <c r="A926" s="13" t="s">
        <v>1921</v>
      </c>
      <c r="B926" s="13" t="s">
        <v>2065</v>
      </c>
      <c r="C926" s="13" t="s">
        <v>1430</v>
      </c>
      <c r="D926" s="11"/>
      <c r="E926" s="11"/>
      <c r="F926" s="13"/>
      <c r="G926" s="47">
        <v>1.99</v>
      </c>
      <c r="H926" s="47">
        <f t="shared" si="0"/>
        <v>3.1840000000000002</v>
      </c>
      <c r="I926" s="43">
        <f>(Table4[[#This Row],[SALE PRICE]]-Table4[[#This Row],[COST PRICE]])/Table4[[#This Row],[SALE PRICE]]</f>
        <v>0.37500000000000006</v>
      </c>
      <c r="J926" s="26" t="str">
        <f>IF(Table4[[#This Row],[MARGIN]]&lt;25%, "REVIEW", "OK")</f>
        <v>OK</v>
      </c>
    </row>
    <row r="927" spans="1:10" ht="15.6" x14ac:dyDescent="0.3">
      <c r="A927" s="12" t="s">
        <v>1922</v>
      </c>
      <c r="B927" s="12" t="s">
        <v>2066</v>
      </c>
      <c r="C927" s="12" t="s">
        <v>1430</v>
      </c>
      <c r="D927" s="10"/>
      <c r="E927" s="10"/>
      <c r="F927" s="12"/>
      <c r="G927" s="46">
        <v>1.99</v>
      </c>
      <c r="H927" s="46">
        <f t="shared" si="0"/>
        <v>3.1840000000000002</v>
      </c>
      <c r="I927" s="29">
        <f>(Table4[[#This Row],[SALE PRICE]]-Table4[[#This Row],[COST PRICE]])/Table4[[#This Row],[SALE PRICE]]</f>
        <v>0.37500000000000006</v>
      </c>
      <c r="J927" s="26" t="str">
        <f>IF(Table4[[#This Row],[MARGIN]]&lt;25%, "REVIEW", "OK")</f>
        <v>OK</v>
      </c>
    </row>
    <row r="928" spans="1:10" ht="15.6" x14ac:dyDescent="0.3">
      <c r="A928" s="13" t="s">
        <v>1923</v>
      </c>
      <c r="B928" s="13" t="s">
        <v>2067</v>
      </c>
      <c r="C928" s="13" t="s">
        <v>1430</v>
      </c>
      <c r="D928" s="11"/>
      <c r="E928" s="11"/>
      <c r="F928" s="13"/>
      <c r="G928" s="47">
        <v>1.99</v>
      </c>
      <c r="H928" s="47">
        <f t="shared" si="0"/>
        <v>3.1840000000000002</v>
      </c>
      <c r="I928" s="43">
        <f>(Table4[[#This Row],[SALE PRICE]]-Table4[[#This Row],[COST PRICE]])/Table4[[#This Row],[SALE PRICE]]</f>
        <v>0.37500000000000006</v>
      </c>
      <c r="J928" s="26" t="str">
        <f>IF(Table4[[#This Row],[MARGIN]]&lt;25%, "REVIEW", "OK")</f>
        <v>OK</v>
      </c>
    </row>
    <row r="929" spans="1:10" ht="15.6" x14ac:dyDescent="0.3">
      <c r="A929" s="12" t="s">
        <v>1924</v>
      </c>
      <c r="B929" s="12" t="s">
        <v>2068</v>
      </c>
      <c r="C929" s="12" t="s">
        <v>1426</v>
      </c>
      <c r="D929" s="10"/>
      <c r="E929" s="10"/>
      <c r="F929" s="12"/>
      <c r="G929" s="46">
        <v>1.39</v>
      </c>
      <c r="H929" s="46">
        <f t="shared" si="0"/>
        <v>2.2239999999999998</v>
      </c>
      <c r="I929" s="29">
        <f>(Table4[[#This Row],[SALE PRICE]]-Table4[[#This Row],[COST PRICE]])/Table4[[#This Row],[SALE PRICE]]</f>
        <v>0.375</v>
      </c>
      <c r="J929" s="26" t="str">
        <f>IF(Table4[[#This Row],[MARGIN]]&lt;25%, "REVIEW", "OK")</f>
        <v>OK</v>
      </c>
    </row>
    <row r="930" spans="1:10" ht="15.6" x14ac:dyDescent="0.3">
      <c r="A930" s="13" t="s">
        <v>1931</v>
      </c>
      <c r="B930" s="13" t="s">
        <v>2069</v>
      </c>
      <c r="C930" s="13" t="s">
        <v>1430</v>
      </c>
      <c r="D930" s="11"/>
      <c r="E930" s="11"/>
      <c r="F930" s="13"/>
      <c r="G930" s="47">
        <v>3.99</v>
      </c>
      <c r="H930" s="47">
        <f t="shared" si="0"/>
        <v>6.3840000000000003</v>
      </c>
      <c r="I930" s="43">
        <f>(Table4[[#This Row],[SALE PRICE]]-Table4[[#This Row],[COST PRICE]])/Table4[[#This Row],[SALE PRICE]]</f>
        <v>0.375</v>
      </c>
      <c r="J930" s="26" t="str">
        <f>IF(Table4[[#This Row],[MARGIN]]&lt;25%, "REVIEW", "OK")</f>
        <v>OK</v>
      </c>
    </row>
    <row r="931" spans="1:10" ht="15.6" x14ac:dyDescent="0.3">
      <c r="A931" s="12" t="s">
        <v>1932</v>
      </c>
      <c r="B931" s="12" t="s">
        <v>2070</v>
      </c>
      <c r="C931" s="12" t="s">
        <v>1430</v>
      </c>
      <c r="D931" s="10"/>
      <c r="E931" s="10"/>
      <c r="F931" s="12"/>
      <c r="G931" s="46">
        <v>2.39</v>
      </c>
      <c r="H931" s="46">
        <f t="shared" si="0"/>
        <v>3.8240000000000003</v>
      </c>
      <c r="I931" s="29">
        <f>(Table4[[#This Row],[SALE PRICE]]-Table4[[#This Row],[COST PRICE]])/Table4[[#This Row],[SALE PRICE]]</f>
        <v>0.375</v>
      </c>
      <c r="J931" s="26" t="str">
        <f>IF(Table4[[#This Row],[MARGIN]]&lt;25%, "REVIEW", "OK")</f>
        <v>OK</v>
      </c>
    </row>
    <row r="932" spans="1:10" ht="31.2" x14ac:dyDescent="0.3">
      <c r="A932" s="13" t="s">
        <v>1933</v>
      </c>
      <c r="B932" s="13" t="s">
        <v>2071</v>
      </c>
      <c r="C932" s="13" t="s">
        <v>1430</v>
      </c>
      <c r="D932" s="11"/>
      <c r="E932" s="11"/>
      <c r="F932" s="13"/>
      <c r="G932" s="47">
        <v>1.69</v>
      </c>
      <c r="H932" s="47">
        <f t="shared" si="0"/>
        <v>2.7040000000000002</v>
      </c>
      <c r="I932" s="43">
        <f>(Table4[[#This Row],[SALE PRICE]]-Table4[[#This Row],[COST PRICE]])/Table4[[#This Row],[SALE PRICE]]</f>
        <v>0.37500000000000006</v>
      </c>
      <c r="J932" s="26" t="str">
        <f>IF(Table4[[#This Row],[MARGIN]]&lt;25%, "REVIEW", "OK")</f>
        <v>OK</v>
      </c>
    </row>
    <row r="933" spans="1:10" ht="15.6" x14ac:dyDescent="0.3">
      <c r="A933" s="12" t="s">
        <v>1934</v>
      </c>
      <c r="B933" s="12" t="s">
        <v>2072</v>
      </c>
      <c r="C933" s="12" t="s">
        <v>1430</v>
      </c>
      <c r="D933" s="10"/>
      <c r="E933" s="10"/>
      <c r="F933" s="12"/>
      <c r="G933" s="46">
        <v>2.4900000000000002</v>
      </c>
      <c r="H933" s="46">
        <f t="shared" si="0"/>
        <v>3.9840000000000004</v>
      </c>
      <c r="I933" s="29">
        <f>(Table4[[#This Row],[SALE PRICE]]-Table4[[#This Row],[COST PRICE]])/Table4[[#This Row],[SALE PRICE]]</f>
        <v>0.375</v>
      </c>
      <c r="J933" s="26" t="str">
        <f>IF(Table4[[#This Row],[MARGIN]]&lt;25%, "REVIEW", "OK")</f>
        <v>OK</v>
      </c>
    </row>
    <row r="934" spans="1:10" ht="15.6" x14ac:dyDescent="0.3">
      <c r="A934" s="13" t="s">
        <v>1935</v>
      </c>
      <c r="B934" s="13" t="s">
        <v>2073</v>
      </c>
      <c r="C934" s="13" t="s">
        <v>1430</v>
      </c>
      <c r="D934" s="11"/>
      <c r="E934" s="11"/>
      <c r="F934" s="13"/>
      <c r="G934" s="47">
        <v>1.59</v>
      </c>
      <c r="H934" s="47">
        <f t="shared" si="0"/>
        <v>2.5440000000000005</v>
      </c>
      <c r="I934" s="43">
        <f>(Table4[[#This Row],[SALE PRICE]]-Table4[[#This Row],[COST PRICE]])/Table4[[#This Row],[SALE PRICE]]</f>
        <v>0.37500000000000011</v>
      </c>
      <c r="J934" s="26" t="str">
        <f>IF(Table4[[#This Row],[MARGIN]]&lt;25%, "REVIEW", "OK")</f>
        <v>OK</v>
      </c>
    </row>
    <row r="935" spans="1:10" ht="15.6" x14ac:dyDescent="0.3">
      <c r="A935" s="12" t="s">
        <v>1936</v>
      </c>
      <c r="B935" s="12" t="s">
        <v>2074</v>
      </c>
      <c r="C935" s="12" t="s">
        <v>1430</v>
      </c>
      <c r="D935" s="10"/>
      <c r="E935" s="10"/>
      <c r="F935" s="12"/>
      <c r="G935" s="46">
        <v>1.99</v>
      </c>
      <c r="H935" s="46">
        <f t="shared" si="0"/>
        <v>3.1840000000000002</v>
      </c>
      <c r="I935" s="29">
        <f>(Table4[[#This Row],[SALE PRICE]]-Table4[[#This Row],[COST PRICE]])/Table4[[#This Row],[SALE PRICE]]</f>
        <v>0.37500000000000006</v>
      </c>
      <c r="J935" s="26" t="str">
        <f>IF(Table4[[#This Row],[MARGIN]]&lt;25%, "REVIEW", "OK")</f>
        <v>OK</v>
      </c>
    </row>
    <row r="936" spans="1:10" ht="15.6" x14ac:dyDescent="0.3">
      <c r="A936" s="13" t="s">
        <v>1937</v>
      </c>
      <c r="B936" s="13" t="s">
        <v>2075</v>
      </c>
      <c r="C936" s="13" t="s">
        <v>1430</v>
      </c>
      <c r="D936" s="11"/>
      <c r="E936" s="11"/>
      <c r="F936" s="13"/>
      <c r="G936" s="47">
        <v>1.59</v>
      </c>
      <c r="H936" s="47">
        <f t="shared" si="0"/>
        <v>2.5440000000000005</v>
      </c>
      <c r="I936" s="43">
        <f>(Table4[[#This Row],[SALE PRICE]]-Table4[[#This Row],[COST PRICE]])/Table4[[#This Row],[SALE PRICE]]</f>
        <v>0.37500000000000011</v>
      </c>
      <c r="J936" s="26" t="str">
        <f>IF(Table4[[#This Row],[MARGIN]]&lt;25%, "REVIEW", "OK")</f>
        <v>OK</v>
      </c>
    </row>
    <row r="937" spans="1:10" ht="15.6" x14ac:dyDescent="0.3">
      <c r="A937" s="12" t="s">
        <v>1938</v>
      </c>
      <c r="B937" s="12" t="s">
        <v>2076</v>
      </c>
      <c r="C937" s="12" t="s">
        <v>1430</v>
      </c>
      <c r="D937" s="10"/>
      <c r="E937" s="10"/>
      <c r="F937" s="12"/>
      <c r="G937" s="46">
        <v>1.99</v>
      </c>
      <c r="H937" s="46">
        <f t="shared" si="0"/>
        <v>3.1840000000000002</v>
      </c>
      <c r="I937" s="29">
        <f>(Table4[[#This Row],[SALE PRICE]]-Table4[[#This Row],[COST PRICE]])/Table4[[#This Row],[SALE PRICE]]</f>
        <v>0.37500000000000006</v>
      </c>
      <c r="J937" s="26" t="str">
        <f>IF(Table4[[#This Row],[MARGIN]]&lt;25%, "REVIEW", "OK")</f>
        <v>OK</v>
      </c>
    </row>
    <row r="938" spans="1:10" ht="15.6" x14ac:dyDescent="0.3">
      <c r="A938" s="13" t="s">
        <v>1939</v>
      </c>
      <c r="B938" s="13" t="s">
        <v>2077</v>
      </c>
      <c r="C938" s="13" t="s">
        <v>1430</v>
      </c>
      <c r="D938" s="11"/>
      <c r="E938" s="11"/>
      <c r="F938" s="13"/>
      <c r="G938" s="47">
        <v>1.69</v>
      </c>
      <c r="H938" s="47">
        <f t="shared" si="0"/>
        <v>2.7040000000000002</v>
      </c>
      <c r="I938" s="43">
        <f>(Table4[[#This Row],[SALE PRICE]]-Table4[[#This Row],[COST PRICE]])/Table4[[#This Row],[SALE PRICE]]</f>
        <v>0.37500000000000006</v>
      </c>
      <c r="J938" s="26" t="str">
        <f>IF(Table4[[#This Row],[MARGIN]]&lt;25%, "REVIEW", "OK")</f>
        <v>OK</v>
      </c>
    </row>
    <row r="939" spans="1:10" ht="15.6" x14ac:dyDescent="0.3">
      <c r="A939" s="12" t="s">
        <v>1940</v>
      </c>
      <c r="B939" s="12" t="s">
        <v>2078</v>
      </c>
      <c r="C939" s="12" t="s">
        <v>1430</v>
      </c>
      <c r="D939" s="10"/>
      <c r="E939" s="10"/>
      <c r="F939" s="12"/>
      <c r="G939" s="46">
        <v>1.69</v>
      </c>
      <c r="H939" s="46">
        <f t="shared" si="0"/>
        <v>2.7040000000000002</v>
      </c>
      <c r="I939" s="29">
        <f>(Table4[[#This Row],[SALE PRICE]]-Table4[[#This Row],[COST PRICE]])/Table4[[#This Row],[SALE PRICE]]</f>
        <v>0.37500000000000006</v>
      </c>
      <c r="J939" s="26" t="str">
        <f>IF(Table4[[#This Row],[MARGIN]]&lt;25%, "REVIEW", "OK")</f>
        <v>OK</v>
      </c>
    </row>
    <row r="940" spans="1:10" ht="15.6" x14ac:dyDescent="0.3">
      <c r="A940" s="13" t="s">
        <v>1941</v>
      </c>
      <c r="B940" s="13" t="s">
        <v>2079</v>
      </c>
      <c r="C940" s="13" t="s">
        <v>1430</v>
      </c>
      <c r="D940" s="11"/>
      <c r="E940" s="11"/>
      <c r="F940" s="13"/>
      <c r="G940" s="47">
        <v>1.59</v>
      </c>
      <c r="H940" s="47">
        <f t="shared" si="0"/>
        <v>2.5440000000000005</v>
      </c>
      <c r="I940" s="43">
        <f>(Table4[[#This Row],[SALE PRICE]]-Table4[[#This Row],[COST PRICE]])/Table4[[#This Row],[SALE PRICE]]</f>
        <v>0.37500000000000011</v>
      </c>
      <c r="J940" s="26" t="str">
        <f>IF(Table4[[#This Row],[MARGIN]]&lt;25%, "REVIEW", "OK")</f>
        <v>OK</v>
      </c>
    </row>
    <row r="941" spans="1:10" ht="15.6" x14ac:dyDescent="0.3">
      <c r="A941" s="12" t="s">
        <v>1942</v>
      </c>
      <c r="B941" s="12" t="s">
        <v>2080</v>
      </c>
      <c r="C941" s="12" t="s">
        <v>1430</v>
      </c>
      <c r="D941" s="10"/>
      <c r="E941" s="10"/>
      <c r="F941" s="12"/>
      <c r="G941" s="46">
        <v>1.69</v>
      </c>
      <c r="H941" s="46">
        <f t="shared" si="0"/>
        <v>2.7040000000000002</v>
      </c>
      <c r="I941" s="29">
        <f>(Table4[[#This Row],[SALE PRICE]]-Table4[[#This Row],[COST PRICE]])/Table4[[#This Row],[SALE PRICE]]</f>
        <v>0.37500000000000006</v>
      </c>
      <c r="J941" s="26" t="str">
        <f>IF(Table4[[#This Row],[MARGIN]]&lt;25%, "REVIEW", "OK")</f>
        <v>OK</v>
      </c>
    </row>
    <row r="942" spans="1:10" ht="31.2" x14ac:dyDescent="0.3">
      <c r="A942" s="13" t="s">
        <v>1943</v>
      </c>
      <c r="B942" s="13" t="s">
        <v>2081</v>
      </c>
      <c r="C942" s="13" t="s">
        <v>1430</v>
      </c>
      <c r="D942" s="11"/>
      <c r="E942" s="11"/>
      <c r="F942" s="13"/>
      <c r="G942" s="47">
        <v>3.99</v>
      </c>
      <c r="H942" s="47">
        <f t="shared" si="0"/>
        <v>6.3840000000000003</v>
      </c>
      <c r="I942" s="43">
        <f>(Table4[[#This Row],[SALE PRICE]]-Table4[[#This Row],[COST PRICE]])/Table4[[#This Row],[SALE PRICE]]</f>
        <v>0.375</v>
      </c>
      <c r="J942" s="26" t="str">
        <f>IF(Table4[[#This Row],[MARGIN]]&lt;25%, "REVIEW", "OK")</f>
        <v>OK</v>
      </c>
    </row>
    <row r="943" spans="1:10" ht="15.6" x14ac:dyDescent="0.3">
      <c r="A943" s="12" t="s">
        <v>1944</v>
      </c>
      <c r="B943" s="12" t="s">
        <v>2082</v>
      </c>
      <c r="C943" s="12" t="s">
        <v>1430</v>
      </c>
      <c r="D943" s="10"/>
      <c r="E943" s="10"/>
      <c r="F943" s="12"/>
      <c r="G943" s="46">
        <v>1.99</v>
      </c>
      <c r="H943" s="46">
        <f t="shared" si="0"/>
        <v>3.1840000000000002</v>
      </c>
      <c r="I943" s="29">
        <f>(Table4[[#This Row],[SALE PRICE]]-Table4[[#This Row],[COST PRICE]])/Table4[[#This Row],[SALE PRICE]]</f>
        <v>0.37500000000000006</v>
      </c>
      <c r="J943" s="26" t="str">
        <f>IF(Table4[[#This Row],[MARGIN]]&lt;25%, "REVIEW", "OK")</f>
        <v>OK</v>
      </c>
    </row>
    <row r="944" spans="1:10" ht="15.6" x14ac:dyDescent="0.3">
      <c r="A944" s="13" t="s">
        <v>1945</v>
      </c>
      <c r="B944" s="13" t="s">
        <v>2083</v>
      </c>
      <c r="C944" s="13" t="s">
        <v>1430</v>
      </c>
      <c r="D944" s="11"/>
      <c r="E944" s="11"/>
      <c r="F944" s="13"/>
      <c r="G944" s="47">
        <v>2.4900000000000002</v>
      </c>
      <c r="H944" s="47">
        <f t="shared" si="0"/>
        <v>3.9840000000000004</v>
      </c>
      <c r="I944" s="43">
        <f>(Table4[[#This Row],[SALE PRICE]]-Table4[[#This Row],[COST PRICE]])/Table4[[#This Row],[SALE PRICE]]</f>
        <v>0.375</v>
      </c>
      <c r="J944" s="26" t="str">
        <f>IF(Table4[[#This Row],[MARGIN]]&lt;25%, "REVIEW", "OK")</f>
        <v>OK</v>
      </c>
    </row>
    <row r="945" spans="1:10" ht="15.6" x14ac:dyDescent="0.3">
      <c r="A945" s="12" t="s">
        <v>1946</v>
      </c>
      <c r="B945" s="12" t="s">
        <v>2084</v>
      </c>
      <c r="C945" s="12" t="s">
        <v>1430</v>
      </c>
      <c r="D945" s="10"/>
      <c r="E945" s="10"/>
      <c r="F945" s="12"/>
      <c r="G945" s="46">
        <v>1.99</v>
      </c>
      <c r="H945" s="46">
        <f t="shared" si="0"/>
        <v>3.1840000000000002</v>
      </c>
      <c r="I945" s="29">
        <f>(Table4[[#This Row],[SALE PRICE]]-Table4[[#This Row],[COST PRICE]])/Table4[[#This Row],[SALE PRICE]]</f>
        <v>0.37500000000000006</v>
      </c>
      <c r="J945" s="26" t="str">
        <f>IF(Table4[[#This Row],[MARGIN]]&lt;25%, "REVIEW", "OK")</f>
        <v>OK</v>
      </c>
    </row>
    <row r="946" spans="1:10" ht="15.6" x14ac:dyDescent="0.3">
      <c r="A946" s="13" t="s">
        <v>1947</v>
      </c>
      <c r="B946" s="13" t="s">
        <v>2085</v>
      </c>
      <c r="C946" s="13" t="s">
        <v>1430</v>
      </c>
      <c r="D946" s="11"/>
      <c r="E946" s="11"/>
      <c r="F946" s="13"/>
      <c r="G946" s="47">
        <v>2.4900000000000002</v>
      </c>
      <c r="H946" s="47">
        <f t="shared" si="0"/>
        <v>3.9840000000000004</v>
      </c>
      <c r="I946" s="43">
        <f>(Table4[[#This Row],[SALE PRICE]]-Table4[[#This Row],[COST PRICE]])/Table4[[#This Row],[SALE PRICE]]</f>
        <v>0.375</v>
      </c>
      <c r="J946" s="26" t="str">
        <f>IF(Table4[[#This Row],[MARGIN]]&lt;25%, "REVIEW", "OK")</f>
        <v>OK</v>
      </c>
    </row>
    <row r="947" spans="1:10" ht="15.6" x14ac:dyDescent="0.3">
      <c r="A947" s="12" t="s">
        <v>1948</v>
      </c>
      <c r="B947" s="12" t="s">
        <v>2086</v>
      </c>
      <c r="C947" s="12" t="s">
        <v>1430</v>
      </c>
      <c r="D947" s="10"/>
      <c r="E947" s="10"/>
      <c r="F947" s="12"/>
      <c r="G947" s="46">
        <v>1.69</v>
      </c>
      <c r="H947" s="46">
        <f t="shared" si="0"/>
        <v>2.7040000000000002</v>
      </c>
      <c r="I947" s="29">
        <f>(Table4[[#This Row],[SALE PRICE]]-Table4[[#This Row],[COST PRICE]])/Table4[[#This Row],[SALE PRICE]]</f>
        <v>0.37500000000000006</v>
      </c>
      <c r="J947" s="26" t="str">
        <f>IF(Table4[[#This Row],[MARGIN]]&lt;25%, "REVIEW", "OK")</f>
        <v>OK</v>
      </c>
    </row>
    <row r="948" spans="1:10" ht="15.6" x14ac:dyDescent="0.3">
      <c r="A948" s="13" t="s">
        <v>1949</v>
      </c>
      <c r="B948" s="13" t="s">
        <v>2087</v>
      </c>
      <c r="C948" s="13" t="s">
        <v>1430</v>
      </c>
      <c r="D948" s="11"/>
      <c r="E948" s="11"/>
      <c r="F948" s="13"/>
      <c r="G948" s="47">
        <v>1.99</v>
      </c>
      <c r="H948" s="47">
        <f t="shared" si="0"/>
        <v>3.1840000000000002</v>
      </c>
      <c r="I948" s="43">
        <f>(Table4[[#This Row],[SALE PRICE]]-Table4[[#This Row],[COST PRICE]])/Table4[[#This Row],[SALE PRICE]]</f>
        <v>0.37500000000000006</v>
      </c>
      <c r="J948" s="26" t="str">
        <f>IF(Table4[[#This Row],[MARGIN]]&lt;25%, "REVIEW", "OK")</f>
        <v>OK</v>
      </c>
    </row>
    <row r="949" spans="1:10" ht="15.6" x14ac:dyDescent="0.3">
      <c r="A949" s="12" t="s">
        <v>1950</v>
      </c>
      <c r="B949" s="12" t="s">
        <v>2088</v>
      </c>
      <c r="C949" s="12" t="s">
        <v>1430</v>
      </c>
      <c r="D949" s="10"/>
      <c r="E949" s="10"/>
      <c r="F949" s="12"/>
      <c r="G949" s="46">
        <v>1.69</v>
      </c>
      <c r="H949" s="46">
        <f t="shared" si="0"/>
        <v>2.7040000000000002</v>
      </c>
      <c r="I949" s="29">
        <f>(Table4[[#This Row],[SALE PRICE]]-Table4[[#This Row],[COST PRICE]])/Table4[[#This Row],[SALE PRICE]]</f>
        <v>0.37500000000000006</v>
      </c>
      <c r="J949" s="26" t="str">
        <f>IF(Table4[[#This Row],[MARGIN]]&lt;25%, "REVIEW", "OK")</f>
        <v>OK</v>
      </c>
    </row>
    <row r="950" spans="1:10" ht="15.6" x14ac:dyDescent="0.3">
      <c r="A950" s="13" t="s">
        <v>1951</v>
      </c>
      <c r="B950" s="13" t="s">
        <v>2089</v>
      </c>
      <c r="C950" s="13" t="s">
        <v>1430</v>
      </c>
      <c r="D950" s="11"/>
      <c r="E950" s="11"/>
      <c r="F950" s="13"/>
      <c r="G950" s="47">
        <v>4.49</v>
      </c>
      <c r="H950" s="47">
        <f t="shared" si="0"/>
        <v>7.1840000000000011</v>
      </c>
      <c r="I950" s="43">
        <f>(Table4[[#This Row],[SALE PRICE]]-Table4[[#This Row],[COST PRICE]])/Table4[[#This Row],[SALE PRICE]]</f>
        <v>0.37500000000000006</v>
      </c>
      <c r="J950" s="26" t="str">
        <f>IF(Table4[[#This Row],[MARGIN]]&lt;25%, "REVIEW", "OK")</f>
        <v>OK</v>
      </c>
    </row>
    <row r="951" spans="1:10" ht="15.6" x14ac:dyDescent="0.3">
      <c r="A951" s="12" t="s">
        <v>1952</v>
      </c>
      <c r="B951" s="12" t="s">
        <v>2090</v>
      </c>
      <c r="C951" s="12" t="s">
        <v>1430</v>
      </c>
      <c r="D951" s="10"/>
      <c r="E951" s="10"/>
      <c r="F951" s="12"/>
      <c r="G951" s="46">
        <v>1.59</v>
      </c>
      <c r="H951" s="46">
        <f t="shared" si="0"/>
        <v>2.5440000000000005</v>
      </c>
      <c r="I951" s="29">
        <f>(Table4[[#This Row],[SALE PRICE]]-Table4[[#This Row],[COST PRICE]])/Table4[[#This Row],[SALE PRICE]]</f>
        <v>0.37500000000000011</v>
      </c>
      <c r="J951" s="26" t="str">
        <f>IF(Table4[[#This Row],[MARGIN]]&lt;25%, "REVIEW", "OK")</f>
        <v>OK</v>
      </c>
    </row>
    <row r="952" spans="1:10" ht="15.6" x14ac:dyDescent="0.3">
      <c r="A952" s="13" t="s">
        <v>1953</v>
      </c>
      <c r="B952" s="13" t="s">
        <v>2091</v>
      </c>
      <c r="C952" s="13" t="s">
        <v>1430</v>
      </c>
      <c r="D952" s="11"/>
      <c r="E952" s="11"/>
      <c r="F952" s="13"/>
      <c r="G952" s="47">
        <v>1.69</v>
      </c>
      <c r="H952" s="47">
        <f t="shared" si="0"/>
        <v>2.7040000000000002</v>
      </c>
      <c r="I952" s="43">
        <f>(Table4[[#This Row],[SALE PRICE]]-Table4[[#This Row],[COST PRICE]])/Table4[[#This Row],[SALE PRICE]]</f>
        <v>0.37500000000000006</v>
      </c>
      <c r="J952" s="26" t="str">
        <f>IF(Table4[[#This Row],[MARGIN]]&lt;25%, "REVIEW", "OK")</f>
        <v>OK</v>
      </c>
    </row>
    <row r="953" spans="1:10" ht="15.6" x14ac:dyDescent="0.3">
      <c r="A953" s="12" t="s">
        <v>1954</v>
      </c>
      <c r="B953" s="12" t="s">
        <v>2092</v>
      </c>
      <c r="C953" s="12" t="s">
        <v>1430</v>
      </c>
      <c r="D953" s="10"/>
      <c r="E953" s="10"/>
      <c r="F953" s="12"/>
      <c r="G953" s="46">
        <v>2.4900000000000002</v>
      </c>
      <c r="H953" s="46">
        <f t="shared" si="0"/>
        <v>3.9840000000000004</v>
      </c>
      <c r="I953" s="29">
        <f>(Table4[[#This Row],[SALE PRICE]]-Table4[[#This Row],[COST PRICE]])/Table4[[#This Row],[SALE PRICE]]</f>
        <v>0.375</v>
      </c>
      <c r="J953" s="26" t="str">
        <f>IF(Table4[[#This Row],[MARGIN]]&lt;25%, "REVIEW", "OK")</f>
        <v>OK</v>
      </c>
    </row>
    <row r="954" spans="1:10" ht="15.6" x14ac:dyDescent="0.3">
      <c r="A954" s="13" t="s">
        <v>1955</v>
      </c>
      <c r="B954" s="13" t="s">
        <v>2093</v>
      </c>
      <c r="C954" s="13" t="s">
        <v>1430</v>
      </c>
      <c r="D954" s="11"/>
      <c r="E954" s="11"/>
      <c r="F954" s="13"/>
      <c r="G954" s="47">
        <v>1.99</v>
      </c>
      <c r="H954" s="47">
        <f t="shared" si="0"/>
        <v>3.1840000000000002</v>
      </c>
      <c r="I954" s="43">
        <f>(Table4[[#This Row],[SALE PRICE]]-Table4[[#This Row],[COST PRICE]])/Table4[[#This Row],[SALE PRICE]]</f>
        <v>0.37500000000000006</v>
      </c>
      <c r="J954" s="26" t="str">
        <f>IF(Table4[[#This Row],[MARGIN]]&lt;25%, "REVIEW", "OK")</f>
        <v>OK</v>
      </c>
    </row>
    <row r="955" spans="1:10" ht="15.6" x14ac:dyDescent="0.3">
      <c r="A955" s="12" t="s">
        <v>1956</v>
      </c>
      <c r="B955" s="12" t="s">
        <v>2094</v>
      </c>
      <c r="C955" s="12" t="s">
        <v>1430</v>
      </c>
      <c r="D955" s="10"/>
      <c r="E955" s="10"/>
      <c r="F955" s="12"/>
      <c r="G955" s="46">
        <v>1.39</v>
      </c>
      <c r="H955" s="46">
        <f t="shared" si="0"/>
        <v>2.2239999999999998</v>
      </c>
      <c r="I955" s="29">
        <f>(Table4[[#This Row],[SALE PRICE]]-Table4[[#This Row],[COST PRICE]])/Table4[[#This Row],[SALE PRICE]]</f>
        <v>0.375</v>
      </c>
      <c r="J955" s="26" t="str">
        <f>IF(Table4[[#This Row],[MARGIN]]&lt;25%, "REVIEW", "OK")</f>
        <v>OK</v>
      </c>
    </row>
    <row r="956" spans="1:10" ht="15.6" x14ac:dyDescent="0.3">
      <c r="A956" s="13" t="s">
        <v>1957</v>
      </c>
      <c r="B956" s="13" t="s">
        <v>2095</v>
      </c>
      <c r="C956" s="13" t="s">
        <v>1430</v>
      </c>
      <c r="D956" s="11"/>
      <c r="E956" s="11"/>
      <c r="F956" s="13"/>
      <c r="G956" s="47">
        <v>1.99</v>
      </c>
      <c r="H956" s="47">
        <f t="shared" si="0"/>
        <v>3.1840000000000002</v>
      </c>
      <c r="I956" s="43">
        <f>(Table4[[#This Row],[SALE PRICE]]-Table4[[#This Row],[COST PRICE]])/Table4[[#This Row],[SALE PRICE]]</f>
        <v>0.37500000000000006</v>
      </c>
      <c r="J956" s="26" t="str">
        <f>IF(Table4[[#This Row],[MARGIN]]&lt;25%, "REVIEW", "OK")</f>
        <v>OK</v>
      </c>
    </row>
    <row r="957" spans="1:10" ht="15.6" x14ac:dyDescent="0.3">
      <c r="A957" s="12" t="s">
        <v>1958</v>
      </c>
      <c r="B957" s="12" t="s">
        <v>2096</v>
      </c>
      <c r="C957" s="12" t="s">
        <v>1430</v>
      </c>
      <c r="D957" s="10"/>
      <c r="E957" s="10"/>
      <c r="F957" s="12"/>
      <c r="G957" s="46">
        <v>1.29</v>
      </c>
      <c r="H957" s="46">
        <f t="shared" si="0"/>
        <v>2.0640000000000001</v>
      </c>
      <c r="I957" s="29">
        <f>(Table4[[#This Row],[SALE PRICE]]-Table4[[#This Row],[COST PRICE]])/Table4[[#This Row],[SALE PRICE]]</f>
        <v>0.375</v>
      </c>
      <c r="J957" s="26" t="str">
        <f>IF(Table4[[#This Row],[MARGIN]]&lt;25%, "REVIEW", "OK")</f>
        <v>OK</v>
      </c>
    </row>
    <row r="958" spans="1:10" ht="15.6" x14ac:dyDescent="0.3">
      <c r="A958" s="13" t="s">
        <v>1959</v>
      </c>
      <c r="B958" s="13" t="s">
        <v>2097</v>
      </c>
      <c r="C958" s="13" t="s">
        <v>1430</v>
      </c>
      <c r="D958" s="11"/>
      <c r="E958" s="11"/>
      <c r="F958" s="13"/>
      <c r="G958" s="47">
        <v>2.4900000000000002</v>
      </c>
      <c r="H958" s="47">
        <f t="shared" si="0"/>
        <v>3.9840000000000004</v>
      </c>
      <c r="I958" s="43">
        <f>(Table4[[#This Row],[SALE PRICE]]-Table4[[#This Row],[COST PRICE]])/Table4[[#This Row],[SALE PRICE]]</f>
        <v>0.375</v>
      </c>
      <c r="J958" s="26" t="str">
        <f>IF(Table4[[#This Row],[MARGIN]]&lt;25%, "REVIEW", "OK")</f>
        <v>OK</v>
      </c>
    </row>
    <row r="959" spans="1:10" ht="15.6" x14ac:dyDescent="0.3">
      <c r="A959" s="12" t="s">
        <v>1960</v>
      </c>
      <c r="B959" s="12" t="s">
        <v>2098</v>
      </c>
      <c r="C959" s="12" t="s">
        <v>1430</v>
      </c>
      <c r="D959" s="10"/>
      <c r="E959" s="10"/>
      <c r="F959" s="12"/>
      <c r="G959" s="46">
        <v>1.89</v>
      </c>
      <c r="H959" s="46">
        <f t="shared" si="0"/>
        <v>3.024</v>
      </c>
      <c r="I959" s="29">
        <f>(Table4[[#This Row],[SALE PRICE]]-Table4[[#This Row],[COST PRICE]])/Table4[[#This Row],[SALE PRICE]]</f>
        <v>0.37500000000000006</v>
      </c>
      <c r="J959" s="26" t="str">
        <f>IF(Table4[[#This Row],[MARGIN]]&lt;25%, "REVIEW", "OK")</f>
        <v>OK</v>
      </c>
    </row>
    <row r="960" spans="1:10" ht="31.2" x14ac:dyDescent="0.3">
      <c r="A960" s="13" t="s">
        <v>1961</v>
      </c>
      <c r="B960" s="13" t="s">
        <v>2099</v>
      </c>
      <c r="C960" s="13" t="s">
        <v>1430</v>
      </c>
      <c r="D960" s="11"/>
      <c r="E960" s="11"/>
      <c r="F960" s="13"/>
      <c r="G960" s="47">
        <v>1.99</v>
      </c>
      <c r="H960" s="47">
        <f t="shared" si="0"/>
        <v>3.1840000000000002</v>
      </c>
      <c r="I960" s="43">
        <f>(Table4[[#This Row],[SALE PRICE]]-Table4[[#This Row],[COST PRICE]])/Table4[[#This Row],[SALE PRICE]]</f>
        <v>0.37500000000000006</v>
      </c>
      <c r="J960" s="26" t="str">
        <f>IF(Table4[[#This Row],[MARGIN]]&lt;25%, "REVIEW", "OK")</f>
        <v>OK</v>
      </c>
    </row>
    <row r="961" spans="1:10" ht="15.6" x14ac:dyDescent="0.3">
      <c r="A961" s="12" t="s">
        <v>1962</v>
      </c>
      <c r="B961" s="12" t="s">
        <v>2100</v>
      </c>
      <c r="C961" s="12" t="s">
        <v>1430</v>
      </c>
      <c r="D961" s="10"/>
      <c r="E961" s="10"/>
      <c r="F961" s="12"/>
      <c r="G961" s="46">
        <v>1.69</v>
      </c>
      <c r="H961" s="46">
        <f t="shared" si="0"/>
        <v>2.7040000000000002</v>
      </c>
      <c r="I961" s="29">
        <f>(Table4[[#This Row],[SALE PRICE]]-Table4[[#This Row],[COST PRICE]])/Table4[[#This Row],[SALE PRICE]]</f>
        <v>0.37500000000000006</v>
      </c>
      <c r="J961" s="26" t="str">
        <f>IF(Table4[[#This Row],[MARGIN]]&lt;25%, "REVIEW", "OK")</f>
        <v>OK</v>
      </c>
    </row>
    <row r="962" spans="1:10" ht="15.6" x14ac:dyDescent="0.3">
      <c r="A962" s="13" t="s">
        <v>1963</v>
      </c>
      <c r="B962" s="13" t="s">
        <v>2101</v>
      </c>
      <c r="C962" s="13" t="s">
        <v>1430</v>
      </c>
      <c r="D962" s="11"/>
      <c r="E962" s="11"/>
      <c r="F962" s="13"/>
      <c r="G962" s="47">
        <v>2.96</v>
      </c>
      <c r="H962" s="47">
        <f t="shared" si="0"/>
        <v>4.7359999999999998</v>
      </c>
      <c r="I962" s="43">
        <f>(Table4[[#This Row],[SALE PRICE]]-Table4[[#This Row],[COST PRICE]])/Table4[[#This Row],[SALE PRICE]]</f>
        <v>0.375</v>
      </c>
      <c r="J962" s="26" t="str">
        <f>IF(Table4[[#This Row],[MARGIN]]&lt;25%, "REVIEW", "OK")</f>
        <v>OK</v>
      </c>
    </row>
    <row r="963" spans="1:10" ht="15.6" x14ac:dyDescent="0.3">
      <c r="A963" s="12" t="s">
        <v>1964</v>
      </c>
      <c r="B963" s="12" t="s">
        <v>2102</v>
      </c>
      <c r="C963" s="12" t="s">
        <v>1430</v>
      </c>
      <c r="D963" s="10"/>
      <c r="E963" s="10"/>
      <c r="F963" s="12"/>
      <c r="G963" s="46">
        <v>1.59</v>
      </c>
      <c r="H963" s="46">
        <f t="shared" si="0"/>
        <v>2.5440000000000005</v>
      </c>
      <c r="I963" s="29">
        <f>(Table4[[#This Row],[SALE PRICE]]-Table4[[#This Row],[COST PRICE]])/Table4[[#This Row],[SALE PRICE]]</f>
        <v>0.37500000000000011</v>
      </c>
      <c r="J963" s="26" t="str">
        <f>IF(Table4[[#This Row],[MARGIN]]&lt;25%, "REVIEW", "OK")</f>
        <v>OK</v>
      </c>
    </row>
    <row r="964" spans="1:10" ht="15.6" x14ac:dyDescent="0.3">
      <c r="A964" s="13" t="s">
        <v>1965</v>
      </c>
      <c r="B964" s="13" t="s">
        <v>2103</v>
      </c>
      <c r="C964" s="13" t="s">
        <v>1430</v>
      </c>
      <c r="D964" s="11"/>
      <c r="E964" s="11"/>
      <c r="F964" s="13"/>
      <c r="G964" s="47">
        <v>1.69</v>
      </c>
      <c r="H964" s="47">
        <f t="shared" si="0"/>
        <v>2.7040000000000002</v>
      </c>
      <c r="I964" s="43">
        <f>(Table4[[#This Row],[SALE PRICE]]-Table4[[#This Row],[COST PRICE]])/Table4[[#This Row],[SALE PRICE]]</f>
        <v>0.37500000000000006</v>
      </c>
      <c r="J964" s="26" t="str">
        <f>IF(Table4[[#This Row],[MARGIN]]&lt;25%, "REVIEW", "OK")</f>
        <v>OK</v>
      </c>
    </row>
    <row r="965" spans="1:10" ht="15.6" x14ac:dyDescent="0.3">
      <c r="A965" s="12" t="s">
        <v>1966</v>
      </c>
      <c r="B965" s="12" t="s">
        <v>2104</v>
      </c>
      <c r="C965" s="12" t="s">
        <v>1430</v>
      </c>
      <c r="D965" s="10"/>
      <c r="E965" s="10"/>
      <c r="F965" s="12"/>
      <c r="G965" s="46">
        <v>1.69</v>
      </c>
      <c r="H965" s="46">
        <f t="shared" si="0"/>
        <v>2.7040000000000002</v>
      </c>
      <c r="I965" s="29">
        <f>(Table4[[#This Row],[SALE PRICE]]-Table4[[#This Row],[COST PRICE]])/Table4[[#This Row],[SALE PRICE]]</f>
        <v>0.37500000000000006</v>
      </c>
      <c r="J965" s="26" t="str">
        <f>IF(Table4[[#This Row],[MARGIN]]&lt;25%, "REVIEW", "OK")</f>
        <v>OK</v>
      </c>
    </row>
    <row r="966" spans="1:10" ht="15.6" x14ac:dyDescent="0.3">
      <c r="A966" s="13" t="s">
        <v>1967</v>
      </c>
      <c r="B966" s="13" t="s">
        <v>2105</v>
      </c>
      <c r="C966" s="13" t="s">
        <v>1430</v>
      </c>
      <c r="D966" s="11"/>
      <c r="E966" s="11"/>
      <c r="F966" s="13"/>
      <c r="G966" s="47">
        <v>1.69</v>
      </c>
      <c r="H966" s="47">
        <f t="shared" si="0"/>
        <v>2.7040000000000002</v>
      </c>
      <c r="I966" s="43">
        <f>(Table4[[#This Row],[SALE PRICE]]-Table4[[#This Row],[COST PRICE]])/Table4[[#This Row],[SALE PRICE]]</f>
        <v>0.37500000000000006</v>
      </c>
      <c r="J966" s="26" t="str">
        <f>IF(Table4[[#This Row],[MARGIN]]&lt;25%, "REVIEW", "OK")</f>
        <v>OK</v>
      </c>
    </row>
    <row r="967" spans="1:10" ht="15.6" x14ac:dyDescent="0.3">
      <c r="A967" s="12" t="s">
        <v>1968</v>
      </c>
      <c r="B967" s="12" t="s">
        <v>2106</v>
      </c>
      <c r="C967" s="12" t="s">
        <v>1430</v>
      </c>
      <c r="D967" s="10"/>
      <c r="E967" s="10"/>
      <c r="F967" s="12"/>
      <c r="G967" s="46">
        <v>1.39</v>
      </c>
      <c r="H967" s="46">
        <f t="shared" si="0"/>
        <v>2.2239999999999998</v>
      </c>
      <c r="I967" s="29">
        <f>(Table4[[#This Row],[SALE PRICE]]-Table4[[#This Row],[COST PRICE]])/Table4[[#This Row],[SALE PRICE]]</f>
        <v>0.375</v>
      </c>
      <c r="J967" s="26" t="str">
        <f>IF(Table4[[#This Row],[MARGIN]]&lt;25%, "REVIEW", "OK")</f>
        <v>OK</v>
      </c>
    </row>
    <row r="968" spans="1:10" ht="15.6" x14ac:dyDescent="0.3">
      <c r="A968" s="13" t="s">
        <v>1969</v>
      </c>
      <c r="B968" s="13" t="s">
        <v>2107</v>
      </c>
      <c r="C968" s="13" t="s">
        <v>1430</v>
      </c>
      <c r="D968" s="11"/>
      <c r="E968" s="11"/>
      <c r="F968" s="13"/>
      <c r="G968" s="47">
        <v>0.49</v>
      </c>
      <c r="H968" s="47">
        <f t="shared" si="0"/>
        <v>0.78400000000000003</v>
      </c>
      <c r="I968" s="43">
        <f>(Table4[[#This Row],[SALE PRICE]]-Table4[[#This Row],[COST PRICE]])/Table4[[#This Row],[SALE PRICE]]</f>
        <v>0.37500000000000006</v>
      </c>
      <c r="J968" s="26" t="str">
        <f>IF(Table4[[#This Row],[MARGIN]]&lt;25%, "REVIEW", "OK")</f>
        <v>OK</v>
      </c>
    </row>
    <row r="969" spans="1:10" ht="15.6" x14ac:dyDescent="0.3">
      <c r="A969" s="12" t="s">
        <v>1970</v>
      </c>
      <c r="B969" s="12" t="s">
        <v>2108</v>
      </c>
      <c r="C969" s="12" t="s">
        <v>1430</v>
      </c>
      <c r="D969" s="10"/>
      <c r="E969" s="10"/>
      <c r="F969" s="12"/>
      <c r="G969" s="46">
        <v>1.99</v>
      </c>
      <c r="H969" s="46">
        <f t="shared" si="0"/>
        <v>3.1840000000000002</v>
      </c>
      <c r="I969" s="29">
        <f>(Table4[[#This Row],[SALE PRICE]]-Table4[[#This Row],[COST PRICE]])/Table4[[#This Row],[SALE PRICE]]</f>
        <v>0.37500000000000006</v>
      </c>
      <c r="J969" s="26" t="str">
        <f>IF(Table4[[#This Row],[MARGIN]]&lt;25%, "REVIEW", "OK")</f>
        <v>OK</v>
      </c>
    </row>
    <row r="970" spans="1:10" ht="15.6" x14ac:dyDescent="0.3">
      <c r="A970" s="13" t="s">
        <v>1971</v>
      </c>
      <c r="B970" s="13" t="s">
        <v>2109</v>
      </c>
      <c r="C970" s="13" t="s">
        <v>1430</v>
      </c>
      <c r="D970" s="11"/>
      <c r="E970" s="11"/>
      <c r="F970" s="13"/>
      <c r="G970" s="47">
        <v>3.49</v>
      </c>
      <c r="H970" s="47">
        <f t="shared" si="0"/>
        <v>5.5840000000000005</v>
      </c>
      <c r="I970" s="43">
        <f>(Table4[[#This Row],[SALE PRICE]]-Table4[[#This Row],[COST PRICE]])/Table4[[#This Row],[SALE PRICE]]</f>
        <v>0.375</v>
      </c>
      <c r="J970" s="26" t="str">
        <f>IF(Table4[[#This Row],[MARGIN]]&lt;25%, "REVIEW", "OK")</f>
        <v>OK</v>
      </c>
    </row>
    <row r="971" spans="1:10" ht="15.6" x14ac:dyDescent="0.3">
      <c r="A971" s="12" t="s">
        <v>1972</v>
      </c>
      <c r="B971" s="12" t="s">
        <v>2110</v>
      </c>
      <c r="C971" s="12" t="s">
        <v>1430</v>
      </c>
      <c r="D971" s="10"/>
      <c r="E971" s="10"/>
      <c r="F971" s="12"/>
      <c r="G971" s="46">
        <v>1.39</v>
      </c>
      <c r="H971" s="46">
        <f t="shared" ref="H971:H1034" si="1">IF(G971&lt;=5,G971*1.6,
IF(G971&lt;=10,G971*1.55,
IF(G971&lt;=25,G971*1.5,
IF(G971&lt;=50,G971*1.4,
IF(G971&lt;=100,G971*1.4,
G971*1.4)))))</f>
        <v>2.2239999999999998</v>
      </c>
      <c r="I971" s="29">
        <f>(Table4[[#This Row],[SALE PRICE]]-Table4[[#This Row],[COST PRICE]])/Table4[[#This Row],[SALE PRICE]]</f>
        <v>0.375</v>
      </c>
      <c r="J971" s="26" t="str">
        <f>IF(Table4[[#This Row],[MARGIN]]&lt;25%, "REVIEW", "OK")</f>
        <v>OK</v>
      </c>
    </row>
    <row r="972" spans="1:10" ht="31.2" x14ac:dyDescent="0.3">
      <c r="A972" s="13" t="s">
        <v>1973</v>
      </c>
      <c r="B972" s="13" t="s">
        <v>2111</v>
      </c>
      <c r="C972" s="13" t="s">
        <v>1430</v>
      </c>
      <c r="D972" s="11"/>
      <c r="E972" s="11"/>
      <c r="F972" s="13"/>
      <c r="G972" s="47">
        <v>1.99</v>
      </c>
      <c r="H972" s="47">
        <f t="shared" si="1"/>
        <v>3.1840000000000002</v>
      </c>
      <c r="I972" s="43">
        <f>(Table4[[#This Row],[SALE PRICE]]-Table4[[#This Row],[COST PRICE]])/Table4[[#This Row],[SALE PRICE]]</f>
        <v>0.37500000000000006</v>
      </c>
      <c r="J972" s="26" t="str">
        <f>IF(Table4[[#This Row],[MARGIN]]&lt;25%, "REVIEW", "OK")</f>
        <v>OK</v>
      </c>
    </row>
    <row r="973" spans="1:10" ht="15.6" x14ac:dyDescent="0.3">
      <c r="A973" s="12" t="s">
        <v>1974</v>
      </c>
      <c r="B973" s="12" t="s">
        <v>2112</v>
      </c>
      <c r="C973" s="12" t="s">
        <v>1430</v>
      </c>
      <c r="D973" s="10"/>
      <c r="E973" s="10"/>
      <c r="F973" s="12"/>
      <c r="G973" s="46">
        <v>1.99</v>
      </c>
      <c r="H973" s="46">
        <f t="shared" si="1"/>
        <v>3.1840000000000002</v>
      </c>
      <c r="I973" s="29">
        <f>(Table4[[#This Row],[SALE PRICE]]-Table4[[#This Row],[COST PRICE]])/Table4[[#This Row],[SALE PRICE]]</f>
        <v>0.37500000000000006</v>
      </c>
      <c r="J973" s="26" t="str">
        <f>IF(Table4[[#This Row],[MARGIN]]&lt;25%, "REVIEW", "OK")</f>
        <v>OK</v>
      </c>
    </row>
    <row r="974" spans="1:10" ht="15.6" x14ac:dyDescent="0.3">
      <c r="A974" s="13" t="s">
        <v>1975</v>
      </c>
      <c r="B974" s="13" t="s">
        <v>2113</v>
      </c>
      <c r="C974" s="13" t="s">
        <v>1430</v>
      </c>
      <c r="D974" s="11"/>
      <c r="E974" s="11"/>
      <c r="F974" s="13"/>
      <c r="G974" s="47">
        <v>1.39</v>
      </c>
      <c r="H974" s="47">
        <f t="shared" si="1"/>
        <v>2.2239999999999998</v>
      </c>
      <c r="I974" s="43">
        <f>(Table4[[#This Row],[SALE PRICE]]-Table4[[#This Row],[COST PRICE]])/Table4[[#This Row],[SALE PRICE]]</f>
        <v>0.375</v>
      </c>
      <c r="J974" s="26" t="str">
        <f>IF(Table4[[#This Row],[MARGIN]]&lt;25%, "REVIEW", "OK")</f>
        <v>OK</v>
      </c>
    </row>
    <row r="975" spans="1:10" ht="15.6" x14ac:dyDescent="0.3">
      <c r="A975" s="12" t="s">
        <v>1976</v>
      </c>
      <c r="B975" s="12" t="s">
        <v>2114</v>
      </c>
      <c r="C975" s="12" t="s">
        <v>1430</v>
      </c>
      <c r="D975" s="10"/>
      <c r="E975" s="10"/>
      <c r="F975" s="12"/>
      <c r="G975" s="46">
        <v>3.49</v>
      </c>
      <c r="H975" s="46">
        <f t="shared" si="1"/>
        <v>5.5840000000000005</v>
      </c>
      <c r="I975" s="29">
        <f>(Table4[[#This Row],[SALE PRICE]]-Table4[[#This Row],[COST PRICE]])/Table4[[#This Row],[SALE PRICE]]</f>
        <v>0.375</v>
      </c>
      <c r="J975" s="26" t="str">
        <f>IF(Table4[[#This Row],[MARGIN]]&lt;25%, "REVIEW", "OK")</f>
        <v>OK</v>
      </c>
    </row>
    <row r="976" spans="1:10" ht="15.6" x14ac:dyDescent="0.3">
      <c r="A976" s="13" t="s">
        <v>1977</v>
      </c>
      <c r="B976" s="13" t="s">
        <v>2115</v>
      </c>
      <c r="C976" s="13" t="s">
        <v>1430</v>
      </c>
      <c r="D976" s="11"/>
      <c r="E976" s="11"/>
      <c r="F976" s="13"/>
      <c r="G976" s="47">
        <v>1.99</v>
      </c>
      <c r="H976" s="47">
        <f t="shared" si="1"/>
        <v>3.1840000000000002</v>
      </c>
      <c r="I976" s="43">
        <f>(Table4[[#This Row],[SALE PRICE]]-Table4[[#This Row],[COST PRICE]])/Table4[[#This Row],[SALE PRICE]]</f>
        <v>0.37500000000000006</v>
      </c>
      <c r="J976" s="26" t="str">
        <f>IF(Table4[[#This Row],[MARGIN]]&lt;25%, "REVIEW", "OK")</f>
        <v>OK</v>
      </c>
    </row>
    <row r="977" spans="1:10" ht="15.6" x14ac:dyDescent="0.3">
      <c r="A977" s="12" t="s">
        <v>1978</v>
      </c>
      <c r="B977" s="12" t="s">
        <v>2116</v>
      </c>
      <c r="C977" s="12" t="s">
        <v>1430</v>
      </c>
      <c r="D977" s="10"/>
      <c r="E977" s="10"/>
      <c r="F977" s="12"/>
      <c r="G977" s="46">
        <v>1.39</v>
      </c>
      <c r="H977" s="46">
        <f t="shared" si="1"/>
        <v>2.2239999999999998</v>
      </c>
      <c r="I977" s="29">
        <f>(Table4[[#This Row],[SALE PRICE]]-Table4[[#This Row],[COST PRICE]])/Table4[[#This Row],[SALE PRICE]]</f>
        <v>0.375</v>
      </c>
      <c r="J977" s="26" t="str">
        <f>IF(Table4[[#This Row],[MARGIN]]&lt;25%, "REVIEW", "OK")</f>
        <v>OK</v>
      </c>
    </row>
    <row r="978" spans="1:10" ht="15.6" x14ac:dyDescent="0.3">
      <c r="A978" s="13" t="s">
        <v>1979</v>
      </c>
      <c r="B978" s="13" t="s">
        <v>2117</v>
      </c>
      <c r="C978" s="13" t="s">
        <v>1430</v>
      </c>
      <c r="D978" s="11"/>
      <c r="E978" s="11"/>
      <c r="F978" s="13"/>
      <c r="G978" s="47">
        <v>1.39</v>
      </c>
      <c r="H978" s="47">
        <f t="shared" si="1"/>
        <v>2.2239999999999998</v>
      </c>
      <c r="I978" s="43">
        <f>(Table4[[#This Row],[SALE PRICE]]-Table4[[#This Row],[COST PRICE]])/Table4[[#This Row],[SALE PRICE]]</f>
        <v>0.375</v>
      </c>
      <c r="J978" s="26" t="str">
        <f>IF(Table4[[#This Row],[MARGIN]]&lt;25%, "REVIEW", "OK")</f>
        <v>OK</v>
      </c>
    </row>
    <row r="979" spans="1:10" ht="15.6" x14ac:dyDescent="0.3">
      <c r="A979" s="12" t="s">
        <v>1980</v>
      </c>
      <c r="B979" s="12" t="s">
        <v>2118</v>
      </c>
      <c r="C979" s="12" t="s">
        <v>1430</v>
      </c>
      <c r="D979" s="10"/>
      <c r="E979" s="10"/>
      <c r="F979" s="12"/>
      <c r="G979" s="46">
        <v>1.39</v>
      </c>
      <c r="H979" s="46">
        <f t="shared" si="1"/>
        <v>2.2239999999999998</v>
      </c>
      <c r="I979" s="29">
        <f>(Table4[[#This Row],[SALE PRICE]]-Table4[[#This Row],[COST PRICE]])/Table4[[#This Row],[SALE PRICE]]</f>
        <v>0.375</v>
      </c>
      <c r="J979" s="26" t="str">
        <f>IF(Table4[[#This Row],[MARGIN]]&lt;25%, "REVIEW", "OK")</f>
        <v>OK</v>
      </c>
    </row>
    <row r="980" spans="1:10" ht="15.6" x14ac:dyDescent="0.3">
      <c r="A980" s="13" t="s">
        <v>1981</v>
      </c>
      <c r="B980" s="13" t="s">
        <v>2119</v>
      </c>
      <c r="C980" s="13" t="s">
        <v>1430</v>
      </c>
      <c r="D980" s="11"/>
      <c r="E980" s="11"/>
      <c r="F980" s="13"/>
      <c r="G980" s="47">
        <v>1.49</v>
      </c>
      <c r="H980" s="47">
        <f t="shared" si="1"/>
        <v>2.3839999999999999</v>
      </c>
      <c r="I980" s="43">
        <f>(Table4[[#This Row],[SALE PRICE]]-Table4[[#This Row],[COST PRICE]])/Table4[[#This Row],[SALE PRICE]]</f>
        <v>0.375</v>
      </c>
      <c r="J980" s="26" t="str">
        <f>IF(Table4[[#This Row],[MARGIN]]&lt;25%, "REVIEW", "OK")</f>
        <v>OK</v>
      </c>
    </row>
    <row r="981" spans="1:10" ht="15.6" x14ac:dyDescent="0.3">
      <c r="A981" s="12" t="s">
        <v>1982</v>
      </c>
      <c r="B981" s="12" t="s">
        <v>2120</v>
      </c>
      <c r="C981" s="12" t="s">
        <v>1430</v>
      </c>
      <c r="D981" s="10"/>
      <c r="E981" s="10"/>
      <c r="F981" s="12"/>
      <c r="G981" s="46">
        <v>1.49</v>
      </c>
      <c r="H981" s="46">
        <f t="shared" si="1"/>
        <v>2.3839999999999999</v>
      </c>
      <c r="I981" s="29">
        <f>(Table4[[#This Row],[SALE PRICE]]-Table4[[#This Row],[COST PRICE]])/Table4[[#This Row],[SALE PRICE]]</f>
        <v>0.375</v>
      </c>
      <c r="J981" s="26" t="str">
        <f>IF(Table4[[#This Row],[MARGIN]]&lt;25%, "REVIEW", "OK")</f>
        <v>OK</v>
      </c>
    </row>
    <row r="982" spans="1:10" ht="15.6" x14ac:dyDescent="0.3">
      <c r="A982" s="13" t="s">
        <v>1983</v>
      </c>
      <c r="B982" s="13" t="s">
        <v>2121</v>
      </c>
      <c r="C982" s="13" t="s">
        <v>1430</v>
      </c>
      <c r="D982" s="11"/>
      <c r="E982" s="11"/>
      <c r="F982" s="13"/>
      <c r="G982" s="47">
        <v>1.69</v>
      </c>
      <c r="H982" s="47">
        <f t="shared" si="1"/>
        <v>2.7040000000000002</v>
      </c>
      <c r="I982" s="43">
        <f>(Table4[[#This Row],[SALE PRICE]]-Table4[[#This Row],[COST PRICE]])/Table4[[#This Row],[SALE PRICE]]</f>
        <v>0.37500000000000006</v>
      </c>
      <c r="J982" s="26" t="str">
        <f>IF(Table4[[#This Row],[MARGIN]]&lt;25%, "REVIEW", "OK")</f>
        <v>OK</v>
      </c>
    </row>
    <row r="983" spans="1:10" ht="31.2" x14ac:dyDescent="0.3">
      <c r="A983" s="12" t="s">
        <v>1984</v>
      </c>
      <c r="B983" s="12" t="s">
        <v>2122</v>
      </c>
      <c r="C983" s="12" t="s">
        <v>1430</v>
      </c>
      <c r="D983" s="10"/>
      <c r="E983" s="10"/>
      <c r="F983" s="12"/>
      <c r="G983" s="46">
        <v>1.39</v>
      </c>
      <c r="H983" s="46">
        <f t="shared" si="1"/>
        <v>2.2239999999999998</v>
      </c>
      <c r="I983" s="29">
        <f>(Table4[[#This Row],[SALE PRICE]]-Table4[[#This Row],[COST PRICE]])/Table4[[#This Row],[SALE PRICE]]</f>
        <v>0.375</v>
      </c>
      <c r="J983" s="26" t="str">
        <f>IF(Table4[[#This Row],[MARGIN]]&lt;25%, "REVIEW", "OK")</f>
        <v>OK</v>
      </c>
    </row>
    <row r="984" spans="1:10" ht="15.6" x14ac:dyDescent="0.3">
      <c r="A984" s="13" t="s">
        <v>1985</v>
      </c>
      <c r="B984" s="13" t="s">
        <v>2123</v>
      </c>
      <c r="C984" s="13" t="s">
        <v>1430</v>
      </c>
      <c r="D984" s="11"/>
      <c r="E984" s="11"/>
      <c r="F984" s="13"/>
      <c r="G984" s="47">
        <v>1.49</v>
      </c>
      <c r="H984" s="47">
        <f t="shared" si="1"/>
        <v>2.3839999999999999</v>
      </c>
      <c r="I984" s="43">
        <f>(Table4[[#This Row],[SALE PRICE]]-Table4[[#This Row],[COST PRICE]])/Table4[[#This Row],[SALE PRICE]]</f>
        <v>0.375</v>
      </c>
      <c r="J984" s="26" t="str">
        <f>IF(Table4[[#This Row],[MARGIN]]&lt;25%, "REVIEW", "OK")</f>
        <v>OK</v>
      </c>
    </row>
    <row r="985" spans="1:10" ht="15.6" x14ac:dyDescent="0.3">
      <c r="A985" s="12" t="s">
        <v>1986</v>
      </c>
      <c r="B985" s="12" t="s">
        <v>2124</v>
      </c>
      <c r="C985" s="12" t="s">
        <v>1430</v>
      </c>
      <c r="D985" s="10"/>
      <c r="E985" s="10"/>
      <c r="F985" s="12"/>
      <c r="G985" s="46">
        <v>3.99</v>
      </c>
      <c r="H985" s="46">
        <f t="shared" si="1"/>
        <v>6.3840000000000003</v>
      </c>
      <c r="I985" s="29">
        <f>(Table4[[#This Row],[SALE PRICE]]-Table4[[#This Row],[COST PRICE]])/Table4[[#This Row],[SALE PRICE]]</f>
        <v>0.375</v>
      </c>
      <c r="J985" s="26" t="str">
        <f>IF(Table4[[#This Row],[MARGIN]]&lt;25%, "REVIEW", "OK")</f>
        <v>OK</v>
      </c>
    </row>
    <row r="986" spans="1:10" ht="15.6" x14ac:dyDescent="0.3">
      <c r="A986" s="13" t="s">
        <v>1987</v>
      </c>
      <c r="B986" s="13" t="s">
        <v>2125</v>
      </c>
      <c r="C986" s="13" t="s">
        <v>1430</v>
      </c>
      <c r="D986" s="11"/>
      <c r="E986" s="11"/>
      <c r="F986" s="13"/>
      <c r="G986" s="47">
        <v>2.4900000000000002</v>
      </c>
      <c r="H986" s="47">
        <f t="shared" si="1"/>
        <v>3.9840000000000004</v>
      </c>
      <c r="I986" s="43">
        <f>(Table4[[#This Row],[SALE PRICE]]-Table4[[#This Row],[COST PRICE]])/Table4[[#This Row],[SALE PRICE]]</f>
        <v>0.375</v>
      </c>
      <c r="J986" s="26" t="str">
        <f>IF(Table4[[#This Row],[MARGIN]]&lt;25%, "REVIEW", "OK")</f>
        <v>OK</v>
      </c>
    </row>
    <row r="987" spans="1:10" ht="15.6" x14ac:dyDescent="0.3">
      <c r="A987" s="12" t="s">
        <v>1988</v>
      </c>
      <c r="B987" s="12" t="s">
        <v>2126</v>
      </c>
      <c r="C987" s="12" t="s">
        <v>1430</v>
      </c>
      <c r="D987" s="10"/>
      <c r="E987" s="10"/>
      <c r="F987" s="12"/>
      <c r="G987" s="46">
        <v>1.99</v>
      </c>
      <c r="H987" s="46">
        <f t="shared" si="1"/>
        <v>3.1840000000000002</v>
      </c>
      <c r="I987" s="29">
        <f>(Table4[[#This Row],[SALE PRICE]]-Table4[[#This Row],[COST PRICE]])/Table4[[#This Row],[SALE PRICE]]</f>
        <v>0.37500000000000006</v>
      </c>
      <c r="J987" s="26" t="str">
        <f>IF(Table4[[#This Row],[MARGIN]]&lt;25%, "REVIEW", "OK")</f>
        <v>OK</v>
      </c>
    </row>
    <row r="988" spans="1:10" ht="15.6" x14ac:dyDescent="0.3">
      <c r="A988" s="13" t="s">
        <v>1989</v>
      </c>
      <c r="B988" s="13" t="s">
        <v>2127</v>
      </c>
      <c r="C988" s="13" t="s">
        <v>1430</v>
      </c>
      <c r="D988" s="11"/>
      <c r="E988" s="11"/>
      <c r="F988" s="13"/>
      <c r="G988" s="47">
        <v>1.69</v>
      </c>
      <c r="H988" s="47">
        <f t="shared" si="1"/>
        <v>2.7040000000000002</v>
      </c>
      <c r="I988" s="43">
        <f>(Table4[[#This Row],[SALE PRICE]]-Table4[[#This Row],[COST PRICE]])/Table4[[#This Row],[SALE PRICE]]</f>
        <v>0.37500000000000006</v>
      </c>
      <c r="J988" s="26" t="str">
        <f>IF(Table4[[#This Row],[MARGIN]]&lt;25%, "REVIEW", "OK")</f>
        <v>OK</v>
      </c>
    </row>
    <row r="989" spans="1:10" ht="15.6" x14ac:dyDescent="0.3">
      <c r="A989" s="12" t="s">
        <v>1990</v>
      </c>
      <c r="B989" s="12" t="s">
        <v>2128</v>
      </c>
      <c r="C989" s="12" t="s">
        <v>1430</v>
      </c>
      <c r="D989" s="10"/>
      <c r="E989" s="10"/>
      <c r="F989" s="12"/>
      <c r="G989" s="46">
        <v>2.4900000000000002</v>
      </c>
      <c r="H989" s="46">
        <f t="shared" si="1"/>
        <v>3.9840000000000004</v>
      </c>
      <c r="I989" s="29">
        <f>(Table4[[#This Row],[SALE PRICE]]-Table4[[#This Row],[COST PRICE]])/Table4[[#This Row],[SALE PRICE]]</f>
        <v>0.375</v>
      </c>
      <c r="J989" s="26" t="str">
        <f>IF(Table4[[#This Row],[MARGIN]]&lt;25%, "REVIEW", "OK")</f>
        <v>OK</v>
      </c>
    </row>
    <row r="990" spans="1:10" ht="15.6" x14ac:dyDescent="0.3">
      <c r="A990" s="13" t="s">
        <v>1991</v>
      </c>
      <c r="B990" s="13" t="s">
        <v>2129</v>
      </c>
      <c r="C990" s="13" t="s">
        <v>1430</v>
      </c>
      <c r="D990" s="11"/>
      <c r="E990" s="11"/>
      <c r="F990" s="13"/>
      <c r="G990" s="47">
        <v>1.39</v>
      </c>
      <c r="H990" s="47">
        <f t="shared" si="1"/>
        <v>2.2239999999999998</v>
      </c>
      <c r="I990" s="43">
        <f>(Table4[[#This Row],[SALE PRICE]]-Table4[[#This Row],[COST PRICE]])/Table4[[#This Row],[SALE PRICE]]</f>
        <v>0.375</v>
      </c>
      <c r="J990" s="26" t="str">
        <f>IF(Table4[[#This Row],[MARGIN]]&lt;25%, "REVIEW", "OK")</f>
        <v>OK</v>
      </c>
    </row>
    <row r="991" spans="1:10" ht="31.2" x14ac:dyDescent="0.3">
      <c r="A991" s="12" t="s">
        <v>1992</v>
      </c>
      <c r="B991" s="12" t="s">
        <v>2130</v>
      </c>
      <c r="C991" s="12" t="s">
        <v>1430</v>
      </c>
      <c r="D991" s="10"/>
      <c r="E991" s="10"/>
      <c r="F991" s="12"/>
      <c r="G991" s="46">
        <v>1.69</v>
      </c>
      <c r="H991" s="46">
        <f t="shared" si="1"/>
        <v>2.7040000000000002</v>
      </c>
      <c r="I991" s="29">
        <f>(Table4[[#This Row],[SALE PRICE]]-Table4[[#This Row],[COST PRICE]])/Table4[[#This Row],[SALE PRICE]]</f>
        <v>0.37500000000000006</v>
      </c>
      <c r="J991" s="26" t="str">
        <f>IF(Table4[[#This Row],[MARGIN]]&lt;25%, "REVIEW", "OK")</f>
        <v>OK</v>
      </c>
    </row>
    <row r="992" spans="1:10" ht="15.6" x14ac:dyDescent="0.3">
      <c r="A992" s="13" t="s">
        <v>1993</v>
      </c>
      <c r="B992" s="13" t="s">
        <v>2131</v>
      </c>
      <c r="C992" s="13" t="s">
        <v>1430</v>
      </c>
      <c r="D992" s="11"/>
      <c r="E992" s="11"/>
      <c r="F992" s="13"/>
      <c r="G992" s="47">
        <v>3.99</v>
      </c>
      <c r="H992" s="47">
        <f t="shared" si="1"/>
        <v>6.3840000000000003</v>
      </c>
      <c r="I992" s="43">
        <f>(Table4[[#This Row],[SALE PRICE]]-Table4[[#This Row],[COST PRICE]])/Table4[[#This Row],[SALE PRICE]]</f>
        <v>0.375</v>
      </c>
      <c r="J992" s="26" t="str">
        <f>IF(Table4[[#This Row],[MARGIN]]&lt;25%, "REVIEW", "OK")</f>
        <v>OK</v>
      </c>
    </row>
    <row r="993" spans="1:10" ht="15.6" x14ac:dyDescent="0.3">
      <c r="A993" s="12" t="s">
        <v>1994</v>
      </c>
      <c r="B993" s="12" t="s">
        <v>2132</v>
      </c>
      <c r="C993" s="12" t="s">
        <v>1430</v>
      </c>
      <c r="D993" s="10"/>
      <c r="E993" s="10"/>
      <c r="F993" s="12"/>
      <c r="G993" s="46">
        <v>1.29</v>
      </c>
      <c r="H993" s="46">
        <f t="shared" si="1"/>
        <v>2.0640000000000001</v>
      </c>
      <c r="I993" s="29">
        <f>(Table4[[#This Row],[SALE PRICE]]-Table4[[#This Row],[COST PRICE]])/Table4[[#This Row],[SALE PRICE]]</f>
        <v>0.375</v>
      </c>
      <c r="J993" s="26" t="str">
        <f>IF(Table4[[#This Row],[MARGIN]]&lt;25%, "REVIEW", "OK")</f>
        <v>OK</v>
      </c>
    </row>
    <row r="994" spans="1:10" ht="15.6" x14ac:dyDescent="0.3">
      <c r="A994" s="13" t="s">
        <v>1995</v>
      </c>
      <c r="B994" s="13" t="s">
        <v>2133</v>
      </c>
      <c r="C994" s="13" t="s">
        <v>1430</v>
      </c>
      <c r="D994" s="11"/>
      <c r="E994" s="11"/>
      <c r="F994" s="13"/>
      <c r="G994" s="47">
        <v>1.99</v>
      </c>
      <c r="H994" s="47">
        <f t="shared" si="1"/>
        <v>3.1840000000000002</v>
      </c>
      <c r="I994" s="43">
        <f>(Table4[[#This Row],[SALE PRICE]]-Table4[[#This Row],[COST PRICE]])/Table4[[#This Row],[SALE PRICE]]</f>
        <v>0.37500000000000006</v>
      </c>
      <c r="J994" s="26" t="str">
        <f>IF(Table4[[#This Row],[MARGIN]]&lt;25%, "REVIEW", "OK")</f>
        <v>OK</v>
      </c>
    </row>
    <row r="995" spans="1:10" ht="15.6" x14ac:dyDescent="0.3">
      <c r="A995" s="12" t="s">
        <v>1996</v>
      </c>
      <c r="B995" s="12" t="s">
        <v>2134</v>
      </c>
      <c r="C995" s="12" t="s">
        <v>1428</v>
      </c>
      <c r="D995" s="10"/>
      <c r="E995" s="10"/>
      <c r="F995" s="12"/>
      <c r="G995" s="46">
        <v>24.99</v>
      </c>
      <c r="H995" s="47">
        <f t="shared" si="1"/>
        <v>37.484999999999999</v>
      </c>
      <c r="I995" s="29">
        <f>(Table4[[#This Row],[SALE PRICE]]-Table4[[#This Row],[COST PRICE]])/Table4[[#This Row],[SALE PRICE]]</f>
        <v>0.33333333333333337</v>
      </c>
      <c r="J995" s="26" t="str">
        <f>IF(Table4[[#This Row],[MARGIN]]&lt;25%, "REVIEW", "OK")</f>
        <v>OK</v>
      </c>
    </row>
    <row r="996" spans="1:10" ht="15.6" x14ac:dyDescent="0.3">
      <c r="A996" s="13" t="s">
        <v>1997</v>
      </c>
      <c r="B996" s="13" t="s">
        <v>2135</v>
      </c>
      <c r="C996" s="13" t="s">
        <v>1429</v>
      </c>
      <c r="D996" s="11"/>
      <c r="E996" s="11"/>
      <c r="F996" s="13"/>
      <c r="G996" s="47">
        <v>2.29</v>
      </c>
      <c r="H996" s="47">
        <f t="shared" si="1"/>
        <v>3.6640000000000001</v>
      </c>
      <c r="I996" s="43">
        <f>(Table4[[#This Row],[SALE PRICE]]-Table4[[#This Row],[COST PRICE]])/Table4[[#This Row],[SALE PRICE]]</f>
        <v>0.375</v>
      </c>
      <c r="J996" s="26" t="str">
        <f>IF(Table4[[#This Row],[MARGIN]]&lt;25%, "REVIEW", "OK")</f>
        <v>OK</v>
      </c>
    </row>
    <row r="997" spans="1:10" ht="15.6" x14ac:dyDescent="0.3">
      <c r="A997" s="12" t="s">
        <v>1998</v>
      </c>
      <c r="B997" s="12" t="s">
        <v>2136</v>
      </c>
      <c r="C997" s="12" t="s">
        <v>1430</v>
      </c>
      <c r="D997" s="10"/>
      <c r="E997" s="10"/>
      <c r="F997" s="12"/>
      <c r="G997" s="46">
        <v>1.69</v>
      </c>
      <c r="H997" s="47">
        <f t="shared" si="1"/>
        <v>2.7040000000000002</v>
      </c>
      <c r="I997" s="29">
        <f>(Table4[[#This Row],[SALE PRICE]]-Table4[[#This Row],[COST PRICE]])/Table4[[#This Row],[SALE PRICE]]</f>
        <v>0.37500000000000006</v>
      </c>
      <c r="J997" s="26" t="str">
        <f>IF(Table4[[#This Row],[MARGIN]]&lt;25%, "REVIEW", "OK")</f>
        <v>OK</v>
      </c>
    </row>
    <row r="998" spans="1:10" ht="15.6" x14ac:dyDescent="0.3">
      <c r="A998" s="13" t="s">
        <v>1999</v>
      </c>
      <c r="B998" s="13" t="s">
        <v>2137</v>
      </c>
      <c r="C998" s="13" t="s">
        <v>1430</v>
      </c>
      <c r="D998" s="11"/>
      <c r="E998" s="11"/>
      <c r="F998" s="13"/>
      <c r="G998" s="47">
        <v>1.69</v>
      </c>
      <c r="H998" s="47">
        <f t="shared" si="1"/>
        <v>2.7040000000000002</v>
      </c>
      <c r="I998" s="43">
        <f>(Table4[[#This Row],[SALE PRICE]]-Table4[[#This Row],[COST PRICE]])/Table4[[#This Row],[SALE PRICE]]</f>
        <v>0.37500000000000006</v>
      </c>
      <c r="J998" s="26" t="str">
        <f>IF(Table4[[#This Row],[MARGIN]]&lt;25%, "REVIEW", "OK")</f>
        <v>OK</v>
      </c>
    </row>
    <row r="999" spans="1:10" ht="15.6" x14ac:dyDescent="0.3">
      <c r="A999" s="12" t="s">
        <v>2000</v>
      </c>
      <c r="B999" s="12" t="s">
        <v>2138</v>
      </c>
      <c r="C999" s="12" t="s">
        <v>1430</v>
      </c>
      <c r="D999" s="10"/>
      <c r="E999" s="10"/>
      <c r="F999" s="12"/>
      <c r="G999" s="46">
        <v>1.69</v>
      </c>
      <c r="H999" s="47">
        <f t="shared" si="1"/>
        <v>2.7040000000000002</v>
      </c>
      <c r="I999" s="29">
        <f>(Table4[[#This Row],[SALE PRICE]]-Table4[[#This Row],[COST PRICE]])/Table4[[#This Row],[SALE PRICE]]</f>
        <v>0.37500000000000006</v>
      </c>
      <c r="J999" s="26" t="str">
        <f>IF(Table4[[#This Row],[MARGIN]]&lt;25%, "REVIEW", "OK")</f>
        <v>OK</v>
      </c>
    </row>
    <row r="1000" spans="1:10" ht="15.6" x14ac:dyDescent="0.3">
      <c r="A1000" s="13" t="s">
        <v>2001</v>
      </c>
      <c r="B1000" s="13" t="s">
        <v>2139</v>
      </c>
      <c r="C1000" s="13" t="s">
        <v>1430</v>
      </c>
      <c r="D1000" s="11"/>
      <c r="E1000" s="11"/>
      <c r="F1000" s="13"/>
      <c r="G1000" s="47">
        <v>1.9</v>
      </c>
      <c r="H1000" s="47">
        <f t="shared" si="1"/>
        <v>3.04</v>
      </c>
      <c r="I1000" s="43">
        <f>(Table4[[#This Row],[SALE PRICE]]-Table4[[#This Row],[COST PRICE]])/Table4[[#This Row],[SALE PRICE]]</f>
        <v>0.37500000000000006</v>
      </c>
      <c r="J1000" s="26" t="str">
        <f>IF(Table4[[#This Row],[MARGIN]]&lt;25%, "REVIEW", "OK")</f>
        <v>OK</v>
      </c>
    </row>
    <row r="1001" spans="1:10" ht="15.6" x14ac:dyDescent="0.3">
      <c r="A1001" s="12" t="s">
        <v>2002</v>
      </c>
      <c r="B1001" s="12" t="s">
        <v>2140</v>
      </c>
      <c r="C1001" s="12" t="s">
        <v>1430</v>
      </c>
      <c r="D1001" s="10"/>
      <c r="E1001" s="10"/>
      <c r="F1001" s="12"/>
      <c r="G1001" s="46">
        <v>2.85</v>
      </c>
      <c r="H1001" s="47">
        <f t="shared" si="1"/>
        <v>4.5600000000000005</v>
      </c>
      <c r="I1001" s="29">
        <f>(Table4[[#This Row],[SALE PRICE]]-Table4[[#This Row],[COST PRICE]])/Table4[[#This Row],[SALE PRICE]]</f>
        <v>0.37500000000000006</v>
      </c>
      <c r="J1001" s="26" t="str">
        <f>IF(Table4[[#This Row],[MARGIN]]&lt;25%, "REVIEW", "OK")</f>
        <v>OK</v>
      </c>
    </row>
    <row r="1002" spans="1:10" ht="15.6" x14ac:dyDescent="0.3">
      <c r="A1002" s="13" t="s">
        <v>2003</v>
      </c>
      <c r="B1002" s="13" t="s">
        <v>2141</v>
      </c>
      <c r="C1002" s="13" t="s">
        <v>1430</v>
      </c>
      <c r="D1002" s="11"/>
      <c r="E1002" s="11"/>
      <c r="F1002" s="13"/>
      <c r="G1002" s="47">
        <v>3.38</v>
      </c>
      <c r="H1002" s="47">
        <f t="shared" si="1"/>
        <v>5.4080000000000004</v>
      </c>
      <c r="I1002" s="43">
        <f>(Table4[[#This Row],[SALE PRICE]]-Table4[[#This Row],[COST PRICE]])/Table4[[#This Row],[SALE PRICE]]</f>
        <v>0.37500000000000006</v>
      </c>
      <c r="J1002" s="26" t="str">
        <f>IF(Table4[[#This Row],[MARGIN]]&lt;25%, "REVIEW", "OK")</f>
        <v>OK</v>
      </c>
    </row>
    <row r="1003" spans="1:10" ht="15.6" x14ac:dyDescent="0.3">
      <c r="A1003" s="12" t="s">
        <v>2004</v>
      </c>
      <c r="B1003" s="12" t="s">
        <v>2142</v>
      </c>
      <c r="C1003" s="12" t="s">
        <v>1430</v>
      </c>
      <c r="D1003" s="10"/>
      <c r="E1003" s="10"/>
      <c r="F1003" s="12"/>
      <c r="G1003" s="46">
        <v>3.21</v>
      </c>
      <c r="H1003" s="47">
        <f t="shared" si="1"/>
        <v>5.1360000000000001</v>
      </c>
      <c r="I1003" s="29">
        <f>(Table4[[#This Row],[SALE PRICE]]-Table4[[#This Row],[COST PRICE]])/Table4[[#This Row],[SALE PRICE]]</f>
        <v>0.375</v>
      </c>
      <c r="J1003" s="26" t="str">
        <f>IF(Table4[[#This Row],[MARGIN]]&lt;25%, "REVIEW", "OK")</f>
        <v>OK</v>
      </c>
    </row>
    <row r="1004" spans="1:10" ht="15.6" x14ac:dyDescent="0.3">
      <c r="A1004" s="13" t="s">
        <v>2005</v>
      </c>
      <c r="B1004" s="13" t="s">
        <v>2143</v>
      </c>
      <c r="C1004" s="13" t="s">
        <v>1430</v>
      </c>
      <c r="D1004" s="11"/>
      <c r="E1004" s="11"/>
      <c r="F1004" s="13"/>
      <c r="G1004" s="47">
        <v>1.2</v>
      </c>
      <c r="H1004" s="47">
        <f t="shared" si="1"/>
        <v>1.92</v>
      </c>
      <c r="I1004" s="43">
        <f>(Table4[[#This Row],[SALE PRICE]]-Table4[[#This Row],[COST PRICE]])/Table4[[#This Row],[SALE PRICE]]</f>
        <v>0.375</v>
      </c>
      <c r="J1004" s="26" t="str">
        <f>IF(Table4[[#This Row],[MARGIN]]&lt;25%, "REVIEW", "OK")</f>
        <v>OK</v>
      </c>
    </row>
    <row r="1005" spans="1:10" ht="15.6" x14ac:dyDescent="0.3">
      <c r="A1005" s="12" t="s">
        <v>2006</v>
      </c>
      <c r="B1005" s="12" t="s">
        <v>2144</v>
      </c>
      <c r="C1005" s="12" t="s">
        <v>1431</v>
      </c>
      <c r="D1005" s="10"/>
      <c r="E1005" s="10"/>
      <c r="F1005" s="12"/>
      <c r="G1005" s="46">
        <v>8.49</v>
      </c>
      <c r="H1005" s="47">
        <f t="shared" si="1"/>
        <v>13.159500000000001</v>
      </c>
      <c r="I1005" s="29">
        <f>(Table4[[#This Row],[SALE PRICE]]-Table4[[#This Row],[COST PRICE]])/Table4[[#This Row],[SALE PRICE]]</f>
        <v>0.35483870967741943</v>
      </c>
      <c r="J1005" s="26" t="str">
        <f>IF(Table4[[#This Row],[MARGIN]]&lt;25%, "REVIEW", "OK")</f>
        <v>OK</v>
      </c>
    </row>
    <row r="1006" spans="1:10" ht="15.6" x14ac:dyDescent="0.3">
      <c r="A1006" s="13" t="s">
        <v>2007</v>
      </c>
      <c r="B1006" s="13" t="s">
        <v>2145</v>
      </c>
      <c r="C1006" s="13" t="s">
        <v>1430</v>
      </c>
      <c r="D1006" s="11"/>
      <c r="E1006" s="11"/>
      <c r="F1006" s="13"/>
      <c r="G1006" s="47">
        <v>4.28</v>
      </c>
      <c r="H1006" s="47">
        <f t="shared" si="1"/>
        <v>6.8480000000000008</v>
      </c>
      <c r="I1006" s="43">
        <f>(Table4[[#This Row],[SALE PRICE]]-Table4[[#This Row],[COST PRICE]])/Table4[[#This Row],[SALE PRICE]]</f>
        <v>0.37500000000000006</v>
      </c>
      <c r="J1006" s="26" t="str">
        <f>IF(Table4[[#This Row],[MARGIN]]&lt;25%, "REVIEW", "OK")</f>
        <v>OK</v>
      </c>
    </row>
    <row r="1007" spans="1:10" ht="15.6" x14ac:dyDescent="0.3">
      <c r="A1007" s="12" t="s">
        <v>2008</v>
      </c>
      <c r="B1007" s="12" t="s">
        <v>2146</v>
      </c>
      <c r="C1007" s="12" t="s">
        <v>1430</v>
      </c>
      <c r="D1007" s="10"/>
      <c r="E1007" s="10"/>
      <c r="F1007" s="12"/>
      <c r="G1007" s="46">
        <v>2.67</v>
      </c>
      <c r="H1007" s="47">
        <f t="shared" si="1"/>
        <v>4.2720000000000002</v>
      </c>
      <c r="I1007" s="29">
        <f>(Table4[[#This Row],[SALE PRICE]]-Table4[[#This Row],[COST PRICE]])/Table4[[#This Row],[SALE PRICE]]</f>
        <v>0.37500000000000006</v>
      </c>
      <c r="J1007" s="26" t="str">
        <f>IF(Table4[[#This Row],[MARGIN]]&lt;25%, "REVIEW", "OK")</f>
        <v>OK</v>
      </c>
    </row>
    <row r="1008" spans="1:10" ht="15.6" x14ac:dyDescent="0.3">
      <c r="A1008" s="13" t="s">
        <v>2009</v>
      </c>
      <c r="B1008" s="13" t="s">
        <v>2147</v>
      </c>
      <c r="C1008" s="13" t="s">
        <v>1430</v>
      </c>
      <c r="D1008" s="11"/>
      <c r="E1008" s="11"/>
      <c r="F1008" s="13"/>
      <c r="G1008" s="47">
        <v>2.69</v>
      </c>
      <c r="H1008" s="47">
        <f t="shared" si="1"/>
        <v>4.3040000000000003</v>
      </c>
      <c r="I1008" s="43">
        <f>(Table4[[#This Row],[SALE PRICE]]-Table4[[#This Row],[COST PRICE]])/Table4[[#This Row],[SALE PRICE]]</f>
        <v>0.37500000000000006</v>
      </c>
      <c r="J1008" s="26" t="str">
        <f>IF(Table4[[#This Row],[MARGIN]]&lt;25%, "REVIEW", "OK")</f>
        <v>OK</v>
      </c>
    </row>
    <row r="1009" spans="1:10" ht="15.6" x14ac:dyDescent="0.3">
      <c r="A1009" s="12" t="s">
        <v>2010</v>
      </c>
      <c r="B1009" s="12" t="s">
        <v>2148</v>
      </c>
      <c r="C1009" s="12" t="s">
        <v>1428</v>
      </c>
      <c r="D1009" s="10"/>
      <c r="E1009" s="10"/>
      <c r="F1009" s="12"/>
      <c r="G1009" s="46">
        <v>6.49</v>
      </c>
      <c r="H1009" s="47">
        <f t="shared" si="1"/>
        <v>10.0595</v>
      </c>
      <c r="I1009" s="29">
        <f>(Table4[[#This Row],[SALE PRICE]]-Table4[[#This Row],[COST PRICE]])/Table4[[#This Row],[SALE PRICE]]</f>
        <v>0.35483870967741932</v>
      </c>
      <c r="J1009" s="26" t="str">
        <f>IF(Table4[[#This Row],[MARGIN]]&lt;25%, "REVIEW", "OK")</f>
        <v>OK</v>
      </c>
    </row>
    <row r="1010" spans="1:10" ht="31.2" x14ac:dyDescent="0.3">
      <c r="A1010" s="13" t="s">
        <v>2011</v>
      </c>
      <c r="B1010" s="13" t="s">
        <v>2149</v>
      </c>
      <c r="C1010" s="13" t="s">
        <v>1426</v>
      </c>
      <c r="D1010" s="11"/>
      <c r="E1010" s="11"/>
      <c r="F1010" s="13"/>
      <c r="G1010" s="47"/>
      <c r="H1010" s="47">
        <f t="shared" si="1"/>
        <v>0</v>
      </c>
      <c r="I1010" s="43" t="e">
        <f>(Table4[[#This Row],[SALE PRICE]]-Table4[[#This Row],[COST PRICE]])/Table4[[#This Row],[SALE PRICE]]</f>
        <v>#DIV/0!</v>
      </c>
      <c r="J1010" s="26" t="e">
        <f>IF(Table4[[#This Row],[MARGIN]]&lt;25%, "REVIEW", "OK")</f>
        <v>#DIV/0!</v>
      </c>
    </row>
    <row r="1011" spans="1:10" ht="15.6" x14ac:dyDescent="0.3">
      <c r="A1011" s="12" t="s">
        <v>2012</v>
      </c>
      <c r="B1011" s="12" t="s">
        <v>2150</v>
      </c>
      <c r="C1011" s="12" t="s">
        <v>1430</v>
      </c>
      <c r="D1011" s="10"/>
      <c r="E1011" s="10"/>
      <c r="F1011" s="12"/>
      <c r="G1011" s="46">
        <v>1.2</v>
      </c>
      <c r="H1011" s="47">
        <f t="shared" si="1"/>
        <v>1.92</v>
      </c>
      <c r="I1011" s="29">
        <f>(Table4[[#This Row],[SALE PRICE]]-Table4[[#This Row],[COST PRICE]])/Table4[[#This Row],[SALE PRICE]]</f>
        <v>0.375</v>
      </c>
      <c r="J1011" s="26" t="str">
        <f>IF(Table4[[#This Row],[MARGIN]]&lt;25%, "REVIEW", "OK")</f>
        <v>OK</v>
      </c>
    </row>
    <row r="1012" spans="1:10" ht="15.6" x14ac:dyDescent="0.3">
      <c r="A1012" s="13" t="s">
        <v>2013</v>
      </c>
      <c r="B1012" s="13" t="s">
        <v>2151</v>
      </c>
      <c r="C1012" s="13" t="s">
        <v>1430</v>
      </c>
      <c r="D1012" s="11"/>
      <c r="E1012" s="11"/>
      <c r="F1012" s="13"/>
      <c r="G1012" s="47">
        <v>3</v>
      </c>
      <c r="H1012" s="47">
        <f t="shared" si="1"/>
        <v>4.8000000000000007</v>
      </c>
      <c r="I1012" s="43">
        <f>(Table4[[#This Row],[SALE PRICE]]-Table4[[#This Row],[COST PRICE]])/Table4[[#This Row],[SALE PRICE]]</f>
        <v>0.37500000000000011</v>
      </c>
      <c r="J1012" s="26" t="str">
        <f>IF(Table4[[#This Row],[MARGIN]]&lt;25%, "REVIEW", "OK")</f>
        <v>OK</v>
      </c>
    </row>
    <row r="1013" spans="1:10" ht="15.6" x14ac:dyDescent="0.3">
      <c r="A1013" s="12" t="s">
        <v>2014</v>
      </c>
      <c r="B1013" s="12" t="s">
        <v>2152</v>
      </c>
      <c r="C1013" s="12" t="s">
        <v>1434</v>
      </c>
      <c r="D1013" s="10"/>
      <c r="E1013" s="10"/>
      <c r="F1013" s="12"/>
      <c r="G1013" s="46"/>
      <c r="H1013" s="47">
        <f t="shared" si="1"/>
        <v>0</v>
      </c>
      <c r="I1013" s="29" t="e">
        <f>(Table4[[#This Row],[SALE PRICE]]-Table4[[#This Row],[COST PRICE]])/Table4[[#This Row],[SALE PRICE]]</f>
        <v>#DIV/0!</v>
      </c>
      <c r="J1013" s="26" t="e">
        <f>IF(Table4[[#This Row],[MARGIN]]&lt;25%, "REVIEW", "OK")</f>
        <v>#DIV/0!</v>
      </c>
    </row>
    <row r="1014" spans="1:10" ht="31.2" x14ac:dyDescent="0.3">
      <c r="A1014" s="13" t="s">
        <v>2015</v>
      </c>
      <c r="B1014" s="13" t="s">
        <v>2153</v>
      </c>
      <c r="C1014" s="13" t="s">
        <v>1429</v>
      </c>
      <c r="D1014" s="11"/>
      <c r="E1014" s="11"/>
      <c r="F1014" s="13"/>
      <c r="G1014" s="47">
        <v>11.99</v>
      </c>
      <c r="H1014" s="47">
        <f t="shared" si="1"/>
        <v>17.984999999999999</v>
      </c>
      <c r="I1014" s="43">
        <f>(Table4[[#This Row],[SALE PRICE]]-Table4[[#This Row],[COST PRICE]])/Table4[[#This Row],[SALE PRICE]]</f>
        <v>0.33333333333333331</v>
      </c>
      <c r="J1014" s="26" t="str">
        <f>IF(Table4[[#This Row],[MARGIN]]&lt;25%, "REVIEW", "OK")</f>
        <v>OK</v>
      </c>
    </row>
    <row r="1015" spans="1:10" ht="15.6" x14ac:dyDescent="0.3">
      <c r="A1015" s="12" t="s">
        <v>2016</v>
      </c>
      <c r="B1015" s="12" t="s">
        <v>2154</v>
      </c>
      <c r="C1015" s="12" t="s">
        <v>1439</v>
      </c>
      <c r="D1015" s="10"/>
      <c r="E1015" s="10"/>
      <c r="F1015" s="12"/>
      <c r="G1015" s="46">
        <v>2.38</v>
      </c>
      <c r="H1015" s="47">
        <f t="shared" si="1"/>
        <v>3.8079999999999998</v>
      </c>
      <c r="I1015" s="29">
        <f>(Table4[[#This Row],[SALE PRICE]]-Table4[[#This Row],[COST PRICE]])/Table4[[#This Row],[SALE PRICE]]</f>
        <v>0.375</v>
      </c>
      <c r="J1015" s="26" t="str">
        <f>IF(Table4[[#This Row],[MARGIN]]&lt;25%, "REVIEW", "OK")</f>
        <v>OK</v>
      </c>
    </row>
    <row r="1016" spans="1:10" ht="15.6" x14ac:dyDescent="0.3">
      <c r="A1016" s="13" t="s">
        <v>2017</v>
      </c>
      <c r="B1016" s="13" t="s">
        <v>2155</v>
      </c>
      <c r="C1016" s="13" t="s">
        <v>1439</v>
      </c>
      <c r="D1016" s="11"/>
      <c r="E1016" s="11"/>
      <c r="F1016" s="13"/>
      <c r="G1016" s="47">
        <v>4.8899999999999997</v>
      </c>
      <c r="H1016" s="47">
        <f t="shared" si="1"/>
        <v>7.8239999999999998</v>
      </c>
      <c r="I1016" s="43">
        <f>(Table4[[#This Row],[SALE PRICE]]-Table4[[#This Row],[COST PRICE]])/Table4[[#This Row],[SALE PRICE]]</f>
        <v>0.37500000000000006</v>
      </c>
      <c r="J1016" s="26" t="str">
        <f>IF(Table4[[#This Row],[MARGIN]]&lt;25%, "REVIEW", "OK")</f>
        <v>OK</v>
      </c>
    </row>
    <row r="1017" spans="1:10" ht="15.6" x14ac:dyDescent="0.3">
      <c r="A1017" s="12" t="s">
        <v>2018</v>
      </c>
      <c r="B1017" s="12" t="s">
        <v>2156</v>
      </c>
      <c r="C1017" s="12" t="s">
        <v>1439</v>
      </c>
      <c r="D1017" s="10"/>
      <c r="E1017" s="10"/>
      <c r="F1017" s="12"/>
      <c r="G1017" s="46">
        <v>6.99</v>
      </c>
      <c r="H1017" s="47">
        <f t="shared" si="1"/>
        <v>10.8345</v>
      </c>
      <c r="I1017" s="29">
        <f>(Table4[[#This Row],[SALE PRICE]]-Table4[[#This Row],[COST PRICE]])/Table4[[#This Row],[SALE PRICE]]</f>
        <v>0.35483870967741937</v>
      </c>
      <c r="J1017" s="26" t="str">
        <f>IF(Table4[[#This Row],[MARGIN]]&lt;25%, "REVIEW", "OK")</f>
        <v>OK</v>
      </c>
    </row>
    <row r="1018" spans="1:10" ht="15.6" x14ac:dyDescent="0.3">
      <c r="A1018" s="13" t="s">
        <v>2019</v>
      </c>
      <c r="B1018" s="13" t="s">
        <v>2157</v>
      </c>
      <c r="C1018" s="13" t="s">
        <v>1439</v>
      </c>
      <c r="D1018" s="11"/>
      <c r="E1018" s="11"/>
      <c r="F1018" s="13"/>
      <c r="G1018" s="47">
        <v>4.58</v>
      </c>
      <c r="H1018" s="47">
        <f t="shared" si="1"/>
        <v>7.3280000000000003</v>
      </c>
      <c r="I1018" s="43">
        <f>(Table4[[#This Row],[SALE PRICE]]-Table4[[#This Row],[COST PRICE]])/Table4[[#This Row],[SALE PRICE]]</f>
        <v>0.375</v>
      </c>
      <c r="J1018" s="26" t="str">
        <f>IF(Table4[[#This Row],[MARGIN]]&lt;25%, "REVIEW", "OK")</f>
        <v>OK</v>
      </c>
    </row>
    <row r="1019" spans="1:10" ht="15.6" x14ac:dyDescent="0.3">
      <c r="A1019" s="12" t="s">
        <v>2020</v>
      </c>
      <c r="B1019" s="12" t="s">
        <v>2249</v>
      </c>
      <c r="C1019" s="12" t="s">
        <v>1430</v>
      </c>
      <c r="D1019" s="10"/>
      <c r="E1019" s="10"/>
      <c r="F1019" s="12"/>
      <c r="G1019" s="46">
        <v>2.99</v>
      </c>
      <c r="H1019" s="47">
        <f t="shared" si="1"/>
        <v>4.7840000000000007</v>
      </c>
      <c r="I1019" s="29">
        <f>(Table4[[#This Row],[SALE PRICE]]-Table4[[#This Row],[COST PRICE]])/Table4[[#This Row],[SALE PRICE]]</f>
        <v>0.37500000000000006</v>
      </c>
      <c r="J1019" s="26" t="str">
        <f>IF(Table4[[#This Row],[MARGIN]]&lt;25%, "REVIEW", "OK")</f>
        <v>OK</v>
      </c>
    </row>
    <row r="1020" spans="1:10" ht="15.6" x14ac:dyDescent="0.3">
      <c r="A1020" s="13" t="s">
        <v>2021</v>
      </c>
      <c r="B1020" s="13" t="s">
        <v>2251</v>
      </c>
      <c r="C1020" s="13" t="s">
        <v>1431</v>
      </c>
      <c r="D1020" s="11"/>
      <c r="E1020" s="11"/>
      <c r="F1020" s="13"/>
      <c r="G1020" s="47">
        <v>2.99</v>
      </c>
      <c r="H1020" s="47">
        <f t="shared" si="1"/>
        <v>4.7840000000000007</v>
      </c>
      <c r="I1020" s="43">
        <f>(Table4[[#This Row],[SALE PRICE]]-Table4[[#This Row],[COST PRICE]])/Table4[[#This Row],[SALE PRICE]]</f>
        <v>0.37500000000000006</v>
      </c>
      <c r="J1020" s="26" t="str">
        <f>IF(Table4[[#This Row],[MARGIN]]&lt;25%, "REVIEW", "OK")</f>
        <v>OK</v>
      </c>
    </row>
    <row r="1021" spans="1:10" ht="15.6" x14ac:dyDescent="0.3">
      <c r="A1021" s="12" t="s">
        <v>2022</v>
      </c>
      <c r="B1021" s="12" t="s">
        <v>2250</v>
      </c>
      <c r="C1021" s="12" t="s">
        <v>1429</v>
      </c>
      <c r="D1021" s="10"/>
      <c r="E1021" s="10"/>
      <c r="F1021" s="12"/>
      <c r="G1021" s="46">
        <v>1.49</v>
      </c>
      <c r="H1021" s="47">
        <f t="shared" si="1"/>
        <v>2.3839999999999999</v>
      </c>
      <c r="I1021" s="29">
        <f>(Table4[[#This Row],[SALE PRICE]]-Table4[[#This Row],[COST PRICE]])/Table4[[#This Row],[SALE PRICE]]</f>
        <v>0.375</v>
      </c>
      <c r="J1021" s="26" t="str">
        <f>IF(Table4[[#This Row],[MARGIN]]&lt;25%, "REVIEW", "OK")</f>
        <v>OK</v>
      </c>
    </row>
    <row r="1022" spans="1:10" ht="15.6" x14ac:dyDescent="0.3">
      <c r="A1022" s="13" t="s">
        <v>2023</v>
      </c>
      <c r="B1022" s="13" t="s">
        <v>2252</v>
      </c>
      <c r="C1022" s="13" t="s">
        <v>1439</v>
      </c>
      <c r="D1022" s="11"/>
      <c r="E1022" s="11"/>
      <c r="F1022" s="13"/>
      <c r="G1022" s="47">
        <v>6.49</v>
      </c>
      <c r="H1022" s="47">
        <f t="shared" si="1"/>
        <v>10.0595</v>
      </c>
      <c r="I1022" s="43">
        <f>(Table4[[#This Row],[SALE PRICE]]-Table4[[#This Row],[COST PRICE]])/Table4[[#This Row],[SALE PRICE]]</f>
        <v>0.35483870967741932</v>
      </c>
      <c r="J1022" s="26" t="str">
        <f>IF(Table4[[#This Row],[MARGIN]]&lt;25%, "REVIEW", "OK")</f>
        <v>OK</v>
      </c>
    </row>
    <row r="1023" spans="1:10" ht="15.6" x14ac:dyDescent="0.3">
      <c r="A1023" s="12" t="s">
        <v>2024</v>
      </c>
      <c r="B1023" s="12"/>
      <c r="C1023" s="12"/>
      <c r="D1023" s="10"/>
      <c r="E1023" s="10"/>
      <c r="F1023" s="12"/>
      <c r="G1023" s="46"/>
      <c r="H1023" s="47">
        <f t="shared" si="1"/>
        <v>0</v>
      </c>
      <c r="I1023" s="29" t="e">
        <f>(Table4[[#This Row],[SALE PRICE]]-Table4[[#This Row],[COST PRICE]])/Table4[[#This Row],[SALE PRICE]]</f>
        <v>#DIV/0!</v>
      </c>
      <c r="J1023" s="26" t="e">
        <f>IF(Table4[[#This Row],[MARGIN]]&lt;25%, "REVIEW", "OK")</f>
        <v>#DIV/0!</v>
      </c>
    </row>
    <row r="1024" spans="1:10" ht="15.6" x14ac:dyDescent="0.3">
      <c r="A1024" s="13" t="s">
        <v>2025</v>
      </c>
      <c r="B1024" s="13"/>
      <c r="C1024" s="13"/>
      <c r="D1024" s="11"/>
      <c r="E1024" s="11"/>
      <c r="F1024" s="13"/>
      <c r="G1024" s="47"/>
      <c r="H1024" s="47">
        <f t="shared" si="1"/>
        <v>0</v>
      </c>
      <c r="I1024" s="43" t="e">
        <f>(Table4[[#This Row],[SALE PRICE]]-Table4[[#This Row],[COST PRICE]])/Table4[[#This Row],[SALE PRICE]]</f>
        <v>#DIV/0!</v>
      </c>
      <c r="J1024" s="26" t="e">
        <f>IF(Table4[[#This Row],[MARGIN]]&lt;25%, "REVIEW", "OK")</f>
        <v>#DIV/0!</v>
      </c>
    </row>
    <row r="1025" spans="1:10" ht="15.6" x14ac:dyDescent="0.3">
      <c r="A1025" s="12" t="s">
        <v>2026</v>
      </c>
      <c r="B1025" s="12"/>
      <c r="C1025" s="12"/>
      <c r="D1025" s="10"/>
      <c r="E1025" s="10"/>
      <c r="F1025" s="12"/>
      <c r="G1025" s="46"/>
      <c r="H1025" s="47">
        <f t="shared" si="1"/>
        <v>0</v>
      </c>
      <c r="I1025" s="29" t="e">
        <f>(Table4[[#This Row],[SALE PRICE]]-Table4[[#This Row],[COST PRICE]])/Table4[[#This Row],[SALE PRICE]]</f>
        <v>#DIV/0!</v>
      </c>
      <c r="J1025" s="26" t="e">
        <f>IF(Table4[[#This Row],[MARGIN]]&lt;25%, "REVIEW", "OK")</f>
        <v>#DIV/0!</v>
      </c>
    </row>
    <row r="1026" spans="1:10" ht="15.6" x14ac:dyDescent="0.3">
      <c r="A1026" s="13" t="s">
        <v>2027</v>
      </c>
      <c r="B1026" s="13"/>
      <c r="C1026" s="13"/>
      <c r="D1026" s="11"/>
      <c r="E1026" s="11"/>
      <c r="F1026" s="13"/>
      <c r="G1026" s="47"/>
      <c r="H1026" s="47">
        <f t="shared" si="1"/>
        <v>0</v>
      </c>
      <c r="I1026" s="43" t="e">
        <f>(Table4[[#This Row],[SALE PRICE]]-Table4[[#This Row],[COST PRICE]])/Table4[[#This Row],[SALE PRICE]]</f>
        <v>#DIV/0!</v>
      </c>
      <c r="J1026" s="26" t="e">
        <f>IF(Table4[[#This Row],[MARGIN]]&lt;25%, "REVIEW", "OK")</f>
        <v>#DIV/0!</v>
      </c>
    </row>
    <row r="1027" spans="1:10" ht="15.6" x14ac:dyDescent="0.3">
      <c r="A1027" s="12" t="s">
        <v>2028</v>
      </c>
      <c r="B1027" s="12"/>
      <c r="C1027" s="12"/>
      <c r="D1027" s="10"/>
      <c r="E1027" s="10"/>
      <c r="F1027" s="12"/>
      <c r="G1027" s="46"/>
      <c r="H1027" s="47">
        <f t="shared" si="1"/>
        <v>0</v>
      </c>
      <c r="I1027" s="29" t="e">
        <f>(Table4[[#This Row],[SALE PRICE]]-Table4[[#This Row],[COST PRICE]])/Table4[[#This Row],[SALE PRICE]]</f>
        <v>#DIV/0!</v>
      </c>
      <c r="J1027" s="26" t="e">
        <f>IF(Table4[[#This Row],[MARGIN]]&lt;25%, "REVIEW", "OK")</f>
        <v>#DIV/0!</v>
      </c>
    </row>
    <row r="1028" spans="1:10" ht="15.6" x14ac:dyDescent="0.3">
      <c r="A1028" s="13" t="s">
        <v>2029</v>
      </c>
      <c r="B1028" s="13"/>
      <c r="C1028" s="13"/>
      <c r="D1028" s="11"/>
      <c r="E1028" s="11"/>
      <c r="F1028" s="13"/>
      <c r="G1028" s="47"/>
      <c r="H1028" s="47">
        <f t="shared" si="1"/>
        <v>0</v>
      </c>
      <c r="I1028" s="43" t="e">
        <f>(Table4[[#This Row],[SALE PRICE]]-Table4[[#This Row],[COST PRICE]])/Table4[[#This Row],[SALE PRICE]]</f>
        <v>#DIV/0!</v>
      </c>
      <c r="J1028" s="26" t="e">
        <f>IF(Table4[[#This Row],[MARGIN]]&lt;25%, "REVIEW", "OK")</f>
        <v>#DIV/0!</v>
      </c>
    </row>
    <row r="1029" spans="1:10" ht="15.6" x14ac:dyDescent="0.3">
      <c r="A1029" s="12" t="s">
        <v>2030</v>
      </c>
      <c r="B1029" s="12"/>
      <c r="C1029" s="12"/>
      <c r="D1029" s="10"/>
      <c r="E1029" s="10"/>
      <c r="F1029" s="12"/>
      <c r="G1029" s="46"/>
      <c r="H1029" s="47">
        <f t="shared" si="1"/>
        <v>0</v>
      </c>
      <c r="I1029" s="29" t="e">
        <f>(Table4[[#This Row],[SALE PRICE]]-Table4[[#This Row],[COST PRICE]])/Table4[[#This Row],[SALE PRICE]]</f>
        <v>#DIV/0!</v>
      </c>
      <c r="J1029" s="26" t="e">
        <f>IF(Table4[[#This Row],[MARGIN]]&lt;25%, "REVIEW", "OK")</f>
        <v>#DIV/0!</v>
      </c>
    </row>
    <row r="1030" spans="1:10" ht="15.6" x14ac:dyDescent="0.3">
      <c r="A1030" s="13" t="s">
        <v>2031</v>
      </c>
      <c r="B1030" s="13"/>
      <c r="C1030" s="13"/>
      <c r="D1030" s="11"/>
      <c r="E1030" s="11"/>
      <c r="F1030" s="13"/>
      <c r="G1030" s="47"/>
      <c r="H1030" s="47">
        <f t="shared" si="1"/>
        <v>0</v>
      </c>
      <c r="I1030" s="43" t="e">
        <f>(Table4[[#This Row],[SALE PRICE]]-Table4[[#This Row],[COST PRICE]])/Table4[[#This Row],[SALE PRICE]]</f>
        <v>#DIV/0!</v>
      </c>
      <c r="J1030" s="26" t="e">
        <f>IF(Table4[[#This Row],[MARGIN]]&lt;25%, "REVIEW", "OK")</f>
        <v>#DIV/0!</v>
      </c>
    </row>
    <row r="1031" spans="1:10" ht="15.6" x14ac:dyDescent="0.3">
      <c r="A1031" s="12" t="s">
        <v>2032</v>
      </c>
      <c r="B1031" s="12"/>
      <c r="C1031" s="12"/>
      <c r="D1031" s="10"/>
      <c r="E1031" s="10"/>
      <c r="F1031" s="12"/>
      <c r="G1031" s="46"/>
      <c r="H1031" s="47">
        <f t="shared" si="1"/>
        <v>0</v>
      </c>
      <c r="I1031" s="29" t="e">
        <f>(Table4[[#This Row],[SALE PRICE]]-Table4[[#This Row],[COST PRICE]])/Table4[[#This Row],[SALE PRICE]]</f>
        <v>#DIV/0!</v>
      </c>
      <c r="J1031" s="26" t="e">
        <f>IF(Table4[[#This Row],[MARGIN]]&lt;25%, "REVIEW", "OK")</f>
        <v>#DIV/0!</v>
      </c>
    </row>
    <row r="1032" spans="1:10" ht="15.6" x14ac:dyDescent="0.3">
      <c r="A1032" s="13" t="s">
        <v>2033</v>
      </c>
      <c r="B1032" s="13"/>
      <c r="C1032" s="13"/>
      <c r="D1032" s="11"/>
      <c r="E1032" s="11"/>
      <c r="F1032" s="13"/>
      <c r="G1032" s="47"/>
      <c r="H1032" s="47">
        <f t="shared" si="1"/>
        <v>0</v>
      </c>
      <c r="I1032" s="43" t="e">
        <f>(Table4[[#This Row],[SALE PRICE]]-Table4[[#This Row],[COST PRICE]])/Table4[[#This Row],[SALE PRICE]]</f>
        <v>#DIV/0!</v>
      </c>
      <c r="J1032" s="26" t="e">
        <f>IF(Table4[[#This Row],[MARGIN]]&lt;25%, "REVIEW", "OK")</f>
        <v>#DIV/0!</v>
      </c>
    </row>
    <row r="1033" spans="1:10" ht="15.6" x14ac:dyDescent="0.3">
      <c r="A1033" s="12" t="s">
        <v>2034</v>
      </c>
      <c r="B1033" s="12"/>
      <c r="C1033" s="12"/>
      <c r="D1033" s="10"/>
      <c r="E1033" s="10"/>
      <c r="F1033" s="12"/>
      <c r="G1033" s="46"/>
      <c r="H1033" s="47">
        <f t="shared" si="1"/>
        <v>0</v>
      </c>
      <c r="I1033" s="29" t="e">
        <f>(Table4[[#This Row],[SALE PRICE]]-Table4[[#This Row],[COST PRICE]])/Table4[[#This Row],[SALE PRICE]]</f>
        <v>#DIV/0!</v>
      </c>
      <c r="J1033" s="26" t="e">
        <f>IF(Table4[[#This Row],[MARGIN]]&lt;25%, "REVIEW", "OK")</f>
        <v>#DIV/0!</v>
      </c>
    </row>
    <row r="1034" spans="1:10" ht="15.6" x14ac:dyDescent="0.3">
      <c r="A1034" s="13" t="s">
        <v>2035</v>
      </c>
      <c r="B1034" s="13"/>
      <c r="C1034" s="13"/>
      <c r="D1034" s="11"/>
      <c r="E1034" s="11"/>
      <c r="F1034" s="13"/>
      <c r="G1034" s="47"/>
      <c r="H1034" s="47">
        <f t="shared" si="1"/>
        <v>0</v>
      </c>
      <c r="I1034" s="43" t="e">
        <f>(Table4[[#This Row],[SALE PRICE]]-Table4[[#This Row],[COST PRICE]])/Table4[[#This Row],[SALE PRICE]]</f>
        <v>#DIV/0!</v>
      </c>
      <c r="J1034" s="26" t="e">
        <f>IF(Table4[[#This Row],[MARGIN]]&lt;25%, "REVIEW", "OK")</f>
        <v>#DIV/0!</v>
      </c>
    </row>
    <row r="1035" spans="1:10" ht="15.6" x14ac:dyDescent="0.3">
      <c r="A1035" s="12" t="s">
        <v>2036</v>
      </c>
      <c r="B1035" s="12"/>
      <c r="C1035" s="12"/>
      <c r="D1035" s="10"/>
      <c r="E1035" s="10"/>
      <c r="F1035" s="12"/>
      <c r="G1035" s="46"/>
      <c r="H1035" s="47">
        <f t="shared" ref="H1035:H1098" si="2">IF(G1035&lt;=5,G1035*1.6,
IF(G1035&lt;=10,G1035*1.55,
IF(G1035&lt;=25,G1035*1.5,
IF(G1035&lt;=50,G1035*1.4,
IF(G1035&lt;=100,G1035*1.4,
G1035*1.4)))))</f>
        <v>0</v>
      </c>
      <c r="I1035" s="29" t="e">
        <f>(Table4[[#This Row],[SALE PRICE]]-Table4[[#This Row],[COST PRICE]])/Table4[[#This Row],[SALE PRICE]]</f>
        <v>#DIV/0!</v>
      </c>
      <c r="J1035" s="26" t="e">
        <f>IF(Table4[[#This Row],[MARGIN]]&lt;25%, "REVIEW", "OK")</f>
        <v>#DIV/0!</v>
      </c>
    </row>
    <row r="1036" spans="1:10" ht="15.6" x14ac:dyDescent="0.3">
      <c r="A1036" s="13" t="s">
        <v>2037</v>
      </c>
      <c r="B1036" s="13"/>
      <c r="C1036" s="13"/>
      <c r="D1036" s="11"/>
      <c r="E1036" s="11"/>
      <c r="F1036" s="13"/>
      <c r="G1036" s="47"/>
      <c r="H1036" s="47">
        <f t="shared" si="2"/>
        <v>0</v>
      </c>
      <c r="I1036" s="43" t="e">
        <f>(Table4[[#This Row],[SALE PRICE]]-Table4[[#This Row],[COST PRICE]])/Table4[[#This Row],[SALE PRICE]]</f>
        <v>#DIV/0!</v>
      </c>
      <c r="J1036" s="26" t="e">
        <f>IF(Table4[[#This Row],[MARGIN]]&lt;25%, "REVIEW", "OK")</f>
        <v>#DIV/0!</v>
      </c>
    </row>
    <row r="1037" spans="1:10" ht="15.6" x14ac:dyDescent="0.3">
      <c r="A1037" s="12" t="s">
        <v>2038</v>
      </c>
      <c r="B1037" s="12"/>
      <c r="C1037" s="12"/>
      <c r="D1037" s="10"/>
      <c r="E1037" s="10"/>
      <c r="F1037" s="12"/>
      <c r="G1037" s="46"/>
      <c r="H1037" s="47">
        <f t="shared" si="2"/>
        <v>0</v>
      </c>
      <c r="I1037" s="29" t="e">
        <f>(Table4[[#This Row],[SALE PRICE]]-Table4[[#This Row],[COST PRICE]])/Table4[[#This Row],[SALE PRICE]]</f>
        <v>#DIV/0!</v>
      </c>
      <c r="J1037" s="26" t="e">
        <f>IF(Table4[[#This Row],[MARGIN]]&lt;25%, "REVIEW", "OK")</f>
        <v>#DIV/0!</v>
      </c>
    </row>
    <row r="1038" spans="1:10" ht="15.6" x14ac:dyDescent="0.3">
      <c r="A1038" s="13" t="s">
        <v>2039</v>
      </c>
      <c r="B1038" s="13"/>
      <c r="C1038" s="13"/>
      <c r="D1038" s="11"/>
      <c r="E1038" s="11"/>
      <c r="F1038" s="13"/>
      <c r="G1038" s="47"/>
      <c r="H1038" s="47">
        <f t="shared" si="2"/>
        <v>0</v>
      </c>
      <c r="I1038" s="43" t="e">
        <f>(Table4[[#This Row],[SALE PRICE]]-Table4[[#This Row],[COST PRICE]])/Table4[[#This Row],[SALE PRICE]]</f>
        <v>#DIV/0!</v>
      </c>
      <c r="J1038" s="26" t="e">
        <f>IF(Table4[[#This Row],[MARGIN]]&lt;25%, "REVIEW", "OK")</f>
        <v>#DIV/0!</v>
      </c>
    </row>
    <row r="1039" spans="1:10" ht="15.6" x14ac:dyDescent="0.3">
      <c r="A1039" s="12" t="s">
        <v>2040</v>
      </c>
      <c r="B1039" s="12"/>
      <c r="C1039" s="12"/>
      <c r="D1039" s="10"/>
      <c r="E1039" s="10"/>
      <c r="F1039" s="12"/>
      <c r="G1039" s="46"/>
      <c r="H1039" s="47">
        <f t="shared" si="2"/>
        <v>0</v>
      </c>
      <c r="I1039" s="29" t="e">
        <f>(Table4[[#This Row],[SALE PRICE]]-Table4[[#This Row],[COST PRICE]])/Table4[[#This Row],[SALE PRICE]]</f>
        <v>#DIV/0!</v>
      </c>
      <c r="J1039" s="26" t="e">
        <f>IF(Table4[[#This Row],[MARGIN]]&lt;25%, "REVIEW", "OK")</f>
        <v>#DIV/0!</v>
      </c>
    </row>
    <row r="1040" spans="1:10" ht="15.6" x14ac:dyDescent="0.3">
      <c r="A1040" s="13" t="s">
        <v>2041</v>
      </c>
      <c r="B1040" s="13"/>
      <c r="C1040" s="13"/>
      <c r="D1040" s="11"/>
      <c r="E1040" s="11"/>
      <c r="F1040" s="13"/>
      <c r="G1040" s="47"/>
      <c r="H1040" s="47">
        <f t="shared" si="2"/>
        <v>0</v>
      </c>
      <c r="I1040" s="43" t="e">
        <f>(Table4[[#This Row],[SALE PRICE]]-Table4[[#This Row],[COST PRICE]])/Table4[[#This Row],[SALE PRICE]]</f>
        <v>#DIV/0!</v>
      </c>
      <c r="J1040" s="26" t="e">
        <f>IF(Table4[[#This Row],[MARGIN]]&lt;25%, "REVIEW", "OK")</f>
        <v>#DIV/0!</v>
      </c>
    </row>
    <row r="1041" spans="1:10" ht="15.6" x14ac:dyDescent="0.3">
      <c r="A1041" s="12" t="s">
        <v>2042</v>
      </c>
      <c r="B1041" s="12"/>
      <c r="C1041" s="12"/>
      <c r="D1041" s="10"/>
      <c r="E1041" s="10"/>
      <c r="F1041" s="12"/>
      <c r="G1041" s="46"/>
      <c r="H1041" s="47">
        <f t="shared" si="2"/>
        <v>0</v>
      </c>
      <c r="I1041" s="29" t="e">
        <f>(Table4[[#This Row],[SALE PRICE]]-Table4[[#This Row],[COST PRICE]])/Table4[[#This Row],[SALE PRICE]]</f>
        <v>#DIV/0!</v>
      </c>
      <c r="J1041" s="26" t="e">
        <f>IF(Table4[[#This Row],[MARGIN]]&lt;25%, "REVIEW", "OK")</f>
        <v>#DIV/0!</v>
      </c>
    </row>
    <row r="1042" spans="1:10" ht="15.6" x14ac:dyDescent="0.3">
      <c r="A1042" s="13" t="s">
        <v>2043</v>
      </c>
      <c r="B1042" s="13"/>
      <c r="C1042" s="13"/>
      <c r="D1042" s="11"/>
      <c r="E1042" s="11"/>
      <c r="F1042" s="13"/>
      <c r="G1042" s="47"/>
      <c r="H1042" s="47">
        <f t="shared" si="2"/>
        <v>0</v>
      </c>
      <c r="I1042" s="43" t="e">
        <f>(Table4[[#This Row],[SALE PRICE]]-Table4[[#This Row],[COST PRICE]])/Table4[[#This Row],[SALE PRICE]]</f>
        <v>#DIV/0!</v>
      </c>
      <c r="J1042" s="26" t="e">
        <f>IF(Table4[[#This Row],[MARGIN]]&lt;25%, "REVIEW", "OK")</f>
        <v>#DIV/0!</v>
      </c>
    </row>
    <row r="1043" spans="1:10" ht="15.6" x14ac:dyDescent="0.3">
      <c r="A1043" s="12" t="s">
        <v>2044</v>
      </c>
      <c r="B1043" s="12"/>
      <c r="C1043" s="12"/>
      <c r="D1043" s="10"/>
      <c r="E1043" s="10"/>
      <c r="F1043" s="12"/>
      <c r="G1043" s="46"/>
      <c r="H1043" s="47">
        <f t="shared" si="2"/>
        <v>0</v>
      </c>
      <c r="I1043" s="29" t="e">
        <f>(Table4[[#This Row],[SALE PRICE]]-Table4[[#This Row],[COST PRICE]])/Table4[[#This Row],[SALE PRICE]]</f>
        <v>#DIV/0!</v>
      </c>
      <c r="J1043" s="26" t="e">
        <f>IF(Table4[[#This Row],[MARGIN]]&lt;25%, "REVIEW", "OK")</f>
        <v>#DIV/0!</v>
      </c>
    </row>
    <row r="1044" spans="1:10" ht="15.6" x14ac:dyDescent="0.3">
      <c r="A1044" s="13" t="s">
        <v>2045</v>
      </c>
      <c r="B1044" s="13"/>
      <c r="C1044" s="13"/>
      <c r="D1044" s="11"/>
      <c r="E1044" s="11"/>
      <c r="F1044" s="13"/>
      <c r="G1044" s="47"/>
      <c r="H1044" s="47">
        <f t="shared" si="2"/>
        <v>0</v>
      </c>
      <c r="I1044" s="43" t="e">
        <f>(Table4[[#This Row],[SALE PRICE]]-Table4[[#This Row],[COST PRICE]])/Table4[[#This Row],[SALE PRICE]]</f>
        <v>#DIV/0!</v>
      </c>
      <c r="J1044" s="26" t="e">
        <f>IF(Table4[[#This Row],[MARGIN]]&lt;25%, "REVIEW", "OK")</f>
        <v>#DIV/0!</v>
      </c>
    </row>
    <row r="1045" spans="1:10" ht="15.6" x14ac:dyDescent="0.3">
      <c r="A1045" s="12" t="s">
        <v>2046</v>
      </c>
      <c r="B1045" s="12"/>
      <c r="C1045" s="12"/>
      <c r="D1045" s="10"/>
      <c r="E1045" s="10"/>
      <c r="F1045" s="12"/>
      <c r="G1045" s="46"/>
      <c r="H1045" s="47">
        <f t="shared" si="2"/>
        <v>0</v>
      </c>
      <c r="I1045" s="29" t="e">
        <f>(Table4[[#This Row],[SALE PRICE]]-Table4[[#This Row],[COST PRICE]])/Table4[[#This Row],[SALE PRICE]]</f>
        <v>#DIV/0!</v>
      </c>
      <c r="J1045" s="26" t="e">
        <f>IF(Table4[[#This Row],[MARGIN]]&lt;25%, "REVIEW", "OK")</f>
        <v>#DIV/0!</v>
      </c>
    </row>
    <row r="1046" spans="1:10" ht="15.6" x14ac:dyDescent="0.3">
      <c r="A1046" s="13" t="s">
        <v>2047</v>
      </c>
      <c r="B1046" s="13"/>
      <c r="C1046" s="13"/>
      <c r="D1046" s="11"/>
      <c r="E1046" s="11"/>
      <c r="F1046" s="13"/>
      <c r="G1046" s="47"/>
      <c r="H1046" s="47">
        <f t="shared" si="2"/>
        <v>0</v>
      </c>
      <c r="I1046" s="43" t="e">
        <f>(Table4[[#This Row],[SALE PRICE]]-Table4[[#This Row],[COST PRICE]])/Table4[[#This Row],[SALE PRICE]]</f>
        <v>#DIV/0!</v>
      </c>
      <c r="J1046" s="26" t="e">
        <f>IF(Table4[[#This Row],[MARGIN]]&lt;25%, "REVIEW", "OK")</f>
        <v>#DIV/0!</v>
      </c>
    </row>
    <row r="1047" spans="1:10" ht="15.6" x14ac:dyDescent="0.3">
      <c r="A1047" s="12" t="s">
        <v>2048</v>
      </c>
      <c r="B1047" s="12"/>
      <c r="C1047" s="12"/>
      <c r="D1047" s="10"/>
      <c r="E1047" s="10"/>
      <c r="F1047" s="12"/>
      <c r="G1047" s="46"/>
      <c r="H1047" s="47">
        <f t="shared" si="2"/>
        <v>0</v>
      </c>
      <c r="I1047" s="29" t="e">
        <f>(Table4[[#This Row],[SALE PRICE]]-Table4[[#This Row],[COST PRICE]])/Table4[[#This Row],[SALE PRICE]]</f>
        <v>#DIV/0!</v>
      </c>
      <c r="J1047" s="26" t="e">
        <f>IF(Table4[[#This Row],[MARGIN]]&lt;25%, "REVIEW", "OK")</f>
        <v>#DIV/0!</v>
      </c>
    </row>
    <row r="1048" spans="1:10" ht="15.6" x14ac:dyDescent="0.3">
      <c r="A1048" s="13" t="s">
        <v>2049</v>
      </c>
      <c r="B1048" s="13"/>
      <c r="C1048" s="13"/>
      <c r="D1048" s="11"/>
      <c r="E1048" s="11"/>
      <c r="F1048" s="13"/>
      <c r="G1048" s="47"/>
      <c r="H1048" s="47">
        <f t="shared" si="2"/>
        <v>0</v>
      </c>
      <c r="I1048" s="43" t="e">
        <f>(Table4[[#This Row],[SALE PRICE]]-Table4[[#This Row],[COST PRICE]])/Table4[[#This Row],[SALE PRICE]]</f>
        <v>#DIV/0!</v>
      </c>
      <c r="J1048" s="26" t="e">
        <f>IF(Table4[[#This Row],[MARGIN]]&lt;25%, "REVIEW", "OK")</f>
        <v>#DIV/0!</v>
      </c>
    </row>
    <row r="1049" spans="1:10" ht="15.6" x14ac:dyDescent="0.3">
      <c r="A1049" s="12" t="s">
        <v>2050</v>
      </c>
      <c r="B1049" s="12"/>
      <c r="C1049" s="12"/>
      <c r="D1049" s="10"/>
      <c r="E1049" s="10"/>
      <c r="F1049" s="12"/>
      <c r="G1049" s="46"/>
      <c r="H1049" s="47">
        <f t="shared" si="2"/>
        <v>0</v>
      </c>
      <c r="I1049" s="29" t="e">
        <f>(Table4[[#This Row],[SALE PRICE]]-Table4[[#This Row],[COST PRICE]])/Table4[[#This Row],[SALE PRICE]]</f>
        <v>#DIV/0!</v>
      </c>
      <c r="J1049" s="26" t="e">
        <f>IF(Table4[[#This Row],[MARGIN]]&lt;25%, "REVIEW", "OK")</f>
        <v>#DIV/0!</v>
      </c>
    </row>
    <row r="1050" spans="1:10" ht="15.6" x14ac:dyDescent="0.3">
      <c r="A1050" s="13" t="s">
        <v>2051</v>
      </c>
      <c r="B1050" s="13"/>
      <c r="C1050" s="13"/>
      <c r="D1050" s="11"/>
      <c r="E1050" s="11"/>
      <c r="F1050" s="13"/>
      <c r="G1050" s="47"/>
      <c r="H1050" s="47">
        <f t="shared" si="2"/>
        <v>0</v>
      </c>
      <c r="I1050" s="43" t="e">
        <f>(Table4[[#This Row],[SALE PRICE]]-Table4[[#This Row],[COST PRICE]])/Table4[[#This Row],[SALE PRICE]]</f>
        <v>#DIV/0!</v>
      </c>
      <c r="J1050" s="26" t="e">
        <f>IF(Table4[[#This Row],[MARGIN]]&lt;25%, "REVIEW", "OK")</f>
        <v>#DIV/0!</v>
      </c>
    </row>
    <row r="1051" spans="1:10" ht="15.6" x14ac:dyDescent="0.3">
      <c r="A1051" s="12" t="s">
        <v>2052</v>
      </c>
      <c r="B1051" s="12"/>
      <c r="C1051" s="12"/>
      <c r="D1051" s="10"/>
      <c r="E1051" s="10"/>
      <c r="F1051" s="12"/>
      <c r="G1051" s="46"/>
      <c r="H1051" s="47">
        <f t="shared" si="2"/>
        <v>0</v>
      </c>
      <c r="I1051" s="29" t="e">
        <f>(Table4[[#This Row],[SALE PRICE]]-Table4[[#This Row],[COST PRICE]])/Table4[[#This Row],[SALE PRICE]]</f>
        <v>#DIV/0!</v>
      </c>
      <c r="J1051" s="26" t="e">
        <f>IF(Table4[[#This Row],[MARGIN]]&lt;25%, "REVIEW", "OK")</f>
        <v>#DIV/0!</v>
      </c>
    </row>
    <row r="1052" spans="1:10" ht="15.6" x14ac:dyDescent="0.3">
      <c r="A1052" s="53" t="s">
        <v>0</v>
      </c>
      <c r="B1052" s="54" t="s">
        <v>1</v>
      </c>
      <c r="C1052" s="54" t="s">
        <v>1425</v>
      </c>
      <c r="D1052" s="54" t="s">
        <v>2</v>
      </c>
      <c r="E1052" s="54" t="s">
        <v>3</v>
      </c>
      <c r="F1052" s="54" t="s">
        <v>4</v>
      </c>
      <c r="G1052" s="55" t="s">
        <v>5</v>
      </c>
      <c r="H1052" s="55" t="e">
        <f t="shared" si="2"/>
        <v>#VALUE!</v>
      </c>
      <c r="I1052" s="56" t="s">
        <v>1892</v>
      </c>
      <c r="J1052" s="57" t="s">
        <v>1893</v>
      </c>
    </row>
    <row r="1053" spans="1:10" ht="15.6" x14ac:dyDescent="0.3">
      <c r="A1053" s="13" t="s">
        <v>2158</v>
      </c>
      <c r="B1053" s="13" t="s">
        <v>2244</v>
      </c>
      <c r="C1053" s="13" t="s">
        <v>1429</v>
      </c>
      <c r="D1053" s="11"/>
      <c r="E1053" s="11"/>
      <c r="F1053" s="13"/>
      <c r="G1053" s="47">
        <v>4.99</v>
      </c>
      <c r="H1053" s="51">
        <f t="shared" si="2"/>
        <v>7.9840000000000009</v>
      </c>
      <c r="I1053" s="44">
        <f>(Table4[[#This Row],[SALE PRICE]]-Table4[[#This Row],[COST PRICE]])/Table4[[#This Row],[SALE PRICE]]</f>
        <v>0.37500000000000006</v>
      </c>
      <c r="J1053" s="13" t="str">
        <f>IF(Table4[[#This Row],[MARGIN]]&lt;25%, "REVIEW", "OK")</f>
        <v>OK</v>
      </c>
    </row>
    <row r="1054" spans="1:10" ht="15.6" x14ac:dyDescent="0.3">
      <c r="A1054" s="24" t="s">
        <v>2159</v>
      </c>
      <c r="B1054" s="24" t="s">
        <v>2245</v>
      </c>
      <c r="C1054" s="24" t="s">
        <v>1429</v>
      </c>
      <c r="D1054" s="25"/>
      <c r="E1054" s="25"/>
      <c r="F1054" s="24"/>
      <c r="G1054" s="49">
        <v>2.59</v>
      </c>
      <c r="H1054" s="52">
        <f t="shared" si="2"/>
        <v>4.1440000000000001</v>
      </c>
      <c r="I1054" s="45">
        <f>(Table4[[#This Row],[SALE PRICE]]-Table4[[#This Row],[COST PRICE]])/Table4[[#This Row],[SALE PRICE]]</f>
        <v>0.37500000000000006</v>
      </c>
      <c r="J1054" s="24" t="str">
        <f>IF(Table4[[#This Row],[MARGIN]]&lt;25%, "REVIEW", "OK")</f>
        <v>OK</v>
      </c>
    </row>
    <row r="1055" spans="1:10" ht="15.6" x14ac:dyDescent="0.3">
      <c r="A1055" s="13" t="s">
        <v>2160</v>
      </c>
      <c r="B1055" s="13" t="s">
        <v>2246</v>
      </c>
      <c r="C1055" s="13" t="s">
        <v>1429</v>
      </c>
      <c r="D1055" s="11"/>
      <c r="E1055" s="11"/>
      <c r="F1055" s="13"/>
      <c r="G1055" s="47">
        <v>2.59</v>
      </c>
      <c r="H1055" s="51">
        <f t="shared" si="2"/>
        <v>4.1440000000000001</v>
      </c>
      <c r="I1055" s="44">
        <f>(Table4[[#This Row],[SALE PRICE]]-Table4[[#This Row],[COST PRICE]])/Table4[[#This Row],[SALE PRICE]]</f>
        <v>0.37500000000000006</v>
      </c>
      <c r="J1055" s="13" t="str">
        <f>IF(Table4[[#This Row],[MARGIN]]&lt;25%, "REVIEW", "OK")</f>
        <v>OK</v>
      </c>
    </row>
    <row r="1056" spans="1:10" ht="15.6" x14ac:dyDescent="0.3">
      <c r="A1056" s="24" t="s">
        <v>2161</v>
      </c>
      <c r="B1056" s="24" t="s">
        <v>2247</v>
      </c>
      <c r="C1056" s="24" t="s">
        <v>1429</v>
      </c>
      <c r="D1056" s="25"/>
      <c r="E1056" s="25"/>
      <c r="F1056" s="24"/>
      <c r="G1056" s="49">
        <v>2.59</v>
      </c>
      <c r="H1056" s="52">
        <f t="shared" si="2"/>
        <v>4.1440000000000001</v>
      </c>
      <c r="I1056" s="45">
        <f>(Table4[[#This Row],[SALE PRICE]]-Table4[[#This Row],[COST PRICE]])/Table4[[#This Row],[SALE PRICE]]</f>
        <v>0.37500000000000006</v>
      </c>
      <c r="J1056" s="24" t="str">
        <f>IF(Table4[[#This Row],[MARGIN]]&lt;25%, "REVIEW", "OK")</f>
        <v>OK</v>
      </c>
    </row>
    <row r="1057" spans="1:10" ht="15.6" x14ac:dyDescent="0.3">
      <c r="A1057" s="13" t="s">
        <v>2162</v>
      </c>
      <c r="B1057" s="13" t="s">
        <v>2248</v>
      </c>
      <c r="C1057" s="13" t="s">
        <v>1430</v>
      </c>
      <c r="D1057" s="11"/>
      <c r="E1057" s="11"/>
      <c r="F1057" s="13"/>
      <c r="G1057" s="47">
        <v>3.99</v>
      </c>
      <c r="H1057" s="51">
        <f t="shared" si="2"/>
        <v>6.3840000000000003</v>
      </c>
      <c r="I1057" s="44">
        <f>(Table4[[#This Row],[SALE PRICE]]-Table4[[#This Row],[COST PRICE]])/Table4[[#This Row],[SALE PRICE]]</f>
        <v>0.375</v>
      </c>
      <c r="J1057" s="13" t="str">
        <f>IF(Table4[[#This Row],[MARGIN]]&lt;25%, "REVIEW", "OK")</f>
        <v>OK</v>
      </c>
    </row>
    <row r="1058" spans="1:10" ht="15.6" x14ac:dyDescent="0.3">
      <c r="A1058" s="24" t="s">
        <v>2163</v>
      </c>
      <c r="B1058" s="24" t="s">
        <v>2254</v>
      </c>
      <c r="C1058" s="24" t="s">
        <v>1429</v>
      </c>
      <c r="D1058" s="25"/>
      <c r="E1058" s="25"/>
      <c r="F1058" s="24"/>
      <c r="G1058" s="49">
        <v>5.49</v>
      </c>
      <c r="H1058" s="52">
        <f t="shared" si="2"/>
        <v>8.509500000000001</v>
      </c>
      <c r="I1058" s="45">
        <f>(Table4[[#This Row],[SALE PRICE]]-Table4[[#This Row],[COST PRICE]])/Table4[[#This Row],[SALE PRICE]]</f>
        <v>0.35483870967741943</v>
      </c>
      <c r="J1058" s="24" t="str">
        <f>IF(Table4[[#This Row],[MARGIN]]&lt;25%, "REVIEW", "OK")</f>
        <v>OK</v>
      </c>
    </row>
    <row r="1059" spans="1:10" ht="15.6" x14ac:dyDescent="0.3">
      <c r="A1059" s="13" t="s">
        <v>2164</v>
      </c>
      <c r="B1059" s="13" t="s">
        <v>2253</v>
      </c>
      <c r="C1059" s="13" t="s">
        <v>1429</v>
      </c>
      <c r="D1059" s="11"/>
      <c r="E1059" s="11"/>
      <c r="F1059" s="13"/>
      <c r="G1059" s="47">
        <v>3.99</v>
      </c>
      <c r="H1059" s="51">
        <f t="shared" si="2"/>
        <v>6.3840000000000003</v>
      </c>
      <c r="I1059" s="44">
        <f>(Table4[[#This Row],[SALE PRICE]]-Table4[[#This Row],[COST PRICE]])/Table4[[#This Row],[SALE PRICE]]</f>
        <v>0.375</v>
      </c>
      <c r="J1059" s="13" t="str">
        <f>IF(Table4[[#This Row],[MARGIN]]&lt;25%, "REVIEW", "OK")</f>
        <v>OK</v>
      </c>
    </row>
    <row r="1060" spans="1:10" ht="15.6" x14ac:dyDescent="0.3">
      <c r="A1060" s="24" t="s">
        <v>2165</v>
      </c>
      <c r="B1060" s="24" t="s">
        <v>2255</v>
      </c>
      <c r="C1060" s="24" t="s">
        <v>1429</v>
      </c>
      <c r="D1060" s="25"/>
      <c r="E1060" s="25"/>
      <c r="F1060" s="24"/>
      <c r="G1060" s="49">
        <v>3.49</v>
      </c>
      <c r="H1060" s="52">
        <f t="shared" si="2"/>
        <v>5.5840000000000005</v>
      </c>
      <c r="I1060" s="45">
        <f>(Table4[[#This Row],[SALE PRICE]]-Table4[[#This Row],[COST PRICE]])/Table4[[#This Row],[SALE PRICE]]</f>
        <v>0.375</v>
      </c>
      <c r="J1060" s="24" t="str">
        <f>IF(Table4[[#This Row],[MARGIN]]&lt;25%, "REVIEW", "OK")</f>
        <v>OK</v>
      </c>
    </row>
    <row r="1061" spans="1:10" ht="15.6" x14ac:dyDescent="0.3">
      <c r="A1061" s="13" t="s">
        <v>2166</v>
      </c>
      <c r="B1061" s="13" t="s">
        <v>2256</v>
      </c>
      <c r="C1061" s="13" t="s">
        <v>1429</v>
      </c>
      <c r="D1061" s="11"/>
      <c r="E1061" s="11"/>
      <c r="F1061" s="13"/>
      <c r="G1061" s="47">
        <v>3.49</v>
      </c>
      <c r="H1061" s="51">
        <f t="shared" si="2"/>
        <v>5.5840000000000005</v>
      </c>
      <c r="I1061" s="44">
        <f>(Table4[[#This Row],[SALE PRICE]]-Table4[[#This Row],[COST PRICE]])/Table4[[#This Row],[SALE PRICE]]</f>
        <v>0.375</v>
      </c>
      <c r="J1061" s="13" t="str">
        <f>IF(Table4[[#This Row],[MARGIN]]&lt;25%, "REVIEW", "OK")</f>
        <v>OK</v>
      </c>
    </row>
    <row r="1062" spans="1:10" ht="15.6" x14ac:dyDescent="0.3">
      <c r="A1062" s="24" t="s">
        <v>2167</v>
      </c>
      <c r="B1062" s="24" t="s">
        <v>2257</v>
      </c>
      <c r="C1062" s="24" t="s">
        <v>1429</v>
      </c>
      <c r="D1062" s="25"/>
      <c r="E1062" s="25"/>
      <c r="F1062" s="24"/>
      <c r="G1062" s="49">
        <v>3.99</v>
      </c>
      <c r="H1062" s="52">
        <f t="shared" si="2"/>
        <v>6.3840000000000003</v>
      </c>
      <c r="I1062" s="45">
        <f>(Table4[[#This Row],[SALE PRICE]]-Table4[[#This Row],[COST PRICE]])/Table4[[#This Row],[SALE PRICE]]</f>
        <v>0.375</v>
      </c>
      <c r="J1062" s="24" t="str">
        <f>IF(Table4[[#This Row],[MARGIN]]&lt;25%, "REVIEW", "OK")</f>
        <v>OK</v>
      </c>
    </row>
    <row r="1063" spans="1:10" ht="15.6" x14ac:dyDescent="0.3">
      <c r="A1063" s="13" t="s">
        <v>2168</v>
      </c>
      <c r="B1063" s="13" t="s">
        <v>2258</v>
      </c>
      <c r="C1063" s="13" t="s">
        <v>1429</v>
      </c>
      <c r="D1063" s="11"/>
      <c r="E1063" s="11"/>
      <c r="F1063" s="13"/>
      <c r="G1063" s="47">
        <v>2.4900000000000002</v>
      </c>
      <c r="H1063" s="51">
        <f t="shared" si="2"/>
        <v>3.9840000000000004</v>
      </c>
      <c r="I1063" s="44">
        <f>(Table4[[#This Row],[SALE PRICE]]-Table4[[#This Row],[COST PRICE]])/Table4[[#This Row],[SALE PRICE]]</f>
        <v>0.375</v>
      </c>
      <c r="J1063" s="13" t="str">
        <f>IF(Table4[[#This Row],[MARGIN]]&lt;25%, "REVIEW", "OK")</f>
        <v>OK</v>
      </c>
    </row>
    <row r="1064" spans="1:10" ht="15.6" x14ac:dyDescent="0.3">
      <c r="A1064" s="24" t="s">
        <v>2169</v>
      </c>
      <c r="B1064" s="24"/>
      <c r="C1064" s="24"/>
      <c r="D1064" s="25"/>
      <c r="E1064" s="25"/>
      <c r="F1064" s="24"/>
      <c r="G1064" s="49"/>
      <c r="H1064" s="52">
        <f t="shared" si="2"/>
        <v>0</v>
      </c>
      <c r="I1064" s="45" t="e">
        <f>(Table4[[#This Row],[SALE PRICE]]-Table4[[#This Row],[COST PRICE]])/Table4[[#This Row],[SALE PRICE]]</f>
        <v>#DIV/0!</v>
      </c>
      <c r="J1064" s="24" t="e">
        <f>IF(Table4[[#This Row],[MARGIN]]&lt;25%, "REVIEW", "OK")</f>
        <v>#DIV/0!</v>
      </c>
    </row>
    <row r="1065" spans="1:10" ht="15.6" x14ac:dyDescent="0.3">
      <c r="A1065" s="13" t="s">
        <v>2170</v>
      </c>
      <c r="B1065" s="13"/>
      <c r="C1065" s="13"/>
      <c r="D1065" s="11"/>
      <c r="E1065" s="11"/>
      <c r="F1065" s="13"/>
      <c r="G1065" s="47"/>
      <c r="H1065" s="51">
        <f t="shared" si="2"/>
        <v>0</v>
      </c>
      <c r="I1065" s="44" t="e">
        <f>(Table4[[#This Row],[SALE PRICE]]-Table4[[#This Row],[COST PRICE]])/Table4[[#This Row],[SALE PRICE]]</f>
        <v>#DIV/0!</v>
      </c>
      <c r="J1065" s="13" t="e">
        <f>IF(Table4[[#This Row],[MARGIN]]&lt;25%, "REVIEW", "OK")</f>
        <v>#DIV/0!</v>
      </c>
    </row>
    <row r="1066" spans="1:10" ht="15.6" x14ac:dyDescent="0.3">
      <c r="A1066" s="24" t="s">
        <v>2171</v>
      </c>
      <c r="B1066" s="24"/>
      <c r="C1066" s="24"/>
      <c r="D1066" s="25"/>
      <c r="E1066" s="25"/>
      <c r="F1066" s="24"/>
      <c r="G1066" s="49"/>
      <c r="H1066" s="52">
        <f t="shared" si="2"/>
        <v>0</v>
      </c>
      <c r="I1066" s="45" t="e">
        <f>(Table4[[#This Row],[SALE PRICE]]-Table4[[#This Row],[COST PRICE]])/Table4[[#This Row],[SALE PRICE]]</f>
        <v>#DIV/0!</v>
      </c>
      <c r="J1066" s="24" t="e">
        <f>IF(Table4[[#This Row],[MARGIN]]&lt;25%, "REVIEW", "OK")</f>
        <v>#DIV/0!</v>
      </c>
    </row>
    <row r="1067" spans="1:10" ht="15.6" x14ac:dyDescent="0.3">
      <c r="A1067" s="13" t="s">
        <v>2172</v>
      </c>
      <c r="B1067" s="13"/>
      <c r="C1067" s="13"/>
      <c r="D1067" s="11"/>
      <c r="E1067" s="11"/>
      <c r="F1067" s="13"/>
      <c r="G1067" s="47"/>
      <c r="H1067" s="51">
        <f t="shared" si="2"/>
        <v>0</v>
      </c>
      <c r="I1067" s="44" t="e">
        <f>(Table4[[#This Row],[SALE PRICE]]-Table4[[#This Row],[COST PRICE]])/Table4[[#This Row],[SALE PRICE]]</f>
        <v>#DIV/0!</v>
      </c>
      <c r="J1067" s="13" t="e">
        <f>IF(Table4[[#This Row],[MARGIN]]&lt;25%, "REVIEW", "OK")</f>
        <v>#DIV/0!</v>
      </c>
    </row>
    <row r="1068" spans="1:10" ht="15.6" x14ac:dyDescent="0.3">
      <c r="A1068" s="24" t="s">
        <v>2173</v>
      </c>
      <c r="B1068" s="24"/>
      <c r="C1068" s="24"/>
      <c r="D1068" s="25"/>
      <c r="E1068" s="25"/>
      <c r="F1068" s="24"/>
      <c r="G1068" s="49"/>
      <c r="H1068" s="52">
        <f t="shared" si="2"/>
        <v>0</v>
      </c>
      <c r="I1068" s="45" t="e">
        <f>(Table4[[#This Row],[SALE PRICE]]-Table4[[#This Row],[COST PRICE]])/Table4[[#This Row],[SALE PRICE]]</f>
        <v>#DIV/0!</v>
      </c>
      <c r="J1068" s="24" t="e">
        <f>IF(Table4[[#This Row],[MARGIN]]&lt;25%, "REVIEW", "OK")</f>
        <v>#DIV/0!</v>
      </c>
    </row>
    <row r="1069" spans="1:10" ht="15.6" x14ac:dyDescent="0.3">
      <c r="A1069" s="13" t="s">
        <v>2174</v>
      </c>
      <c r="B1069" s="13"/>
      <c r="C1069" s="13"/>
      <c r="D1069" s="11"/>
      <c r="E1069" s="11"/>
      <c r="F1069" s="13"/>
      <c r="G1069" s="47"/>
      <c r="H1069" s="51">
        <f t="shared" si="2"/>
        <v>0</v>
      </c>
      <c r="I1069" s="44" t="e">
        <f>(Table4[[#This Row],[SALE PRICE]]-Table4[[#This Row],[COST PRICE]])/Table4[[#This Row],[SALE PRICE]]</f>
        <v>#DIV/0!</v>
      </c>
      <c r="J1069" s="13" t="e">
        <f>IF(Table4[[#This Row],[MARGIN]]&lt;25%, "REVIEW", "OK")</f>
        <v>#DIV/0!</v>
      </c>
    </row>
    <row r="1070" spans="1:10" ht="15.6" x14ac:dyDescent="0.3">
      <c r="A1070" s="24" t="s">
        <v>2175</v>
      </c>
      <c r="B1070" s="24"/>
      <c r="C1070" s="24"/>
      <c r="D1070" s="25"/>
      <c r="E1070" s="25"/>
      <c r="F1070" s="24"/>
      <c r="G1070" s="49"/>
      <c r="H1070" s="52">
        <f t="shared" si="2"/>
        <v>0</v>
      </c>
      <c r="I1070" s="45" t="e">
        <f>(Table4[[#This Row],[SALE PRICE]]-Table4[[#This Row],[COST PRICE]])/Table4[[#This Row],[SALE PRICE]]</f>
        <v>#DIV/0!</v>
      </c>
      <c r="J1070" s="24" t="e">
        <f>IF(Table4[[#This Row],[MARGIN]]&lt;25%, "REVIEW", "OK")</f>
        <v>#DIV/0!</v>
      </c>
    </row>
    <row r="1071" spans="1:10" ht="15.6" x14ac:dyDescent="0.3">
      <c r="A1071" s="13" t="s">
        <v>2176</v>
      </c>
      <c r="B1071" s="13"/>
      <c r="C1071" s="13"/>
      <c r="D1071" s="11"/>
      <c r="E1071" s="11"/>
      <c r="F1071" s="13"/>
      <c r="G1071" s="47"/>
      <c r="H1071" s="51">
        <f t="shared" si="2"/>
        <v>0</v>
      </c>
      <c r="I1071" s="44" t="e">
        <f>(Table4[[#This Row],[SALE PRICE]]-Table4[[#This Row],[COST PRICE]])/Table4[[#This Row],[SALE PRICE]]</f>
        <v>#DIV/0!</v>
      </c>
      <c r="J1071" s="13" t="e">
        <f>IF(Table4[[#This Row],[MARGIN]]&lt;25%, "REVIEW", "OK")</f>
        <v>#DIV/0!</v>
      </c>
    </row>
    <row r="1072" spans="1:10" ht="15.6" x14ac:dyDescent="0.3">
      <c r="A1072" s="24" t="s">
        <v>2177</v>
      </c>
      <c r="B1072" s="24"/>
      <c r="C1072" s="24"/>
      <c r="D1072" s="25"/>
      <c r="E1072" s="25"/>
      <c r="F1072" s="24"/>
      <c r="G1072" s="49"/>
      <c r="H1072" s="52">
        <f t="shared" si="2"/>
        <v>0</v>
      </c>
      <c r="I1072" s="45" t="e">
        <f>(Table4[[#This Row],[SALE PRICE]]-Table4[[#This Row],[COST PRICE]])/Table4[[#This Row],[SALE PRICE]]</f>
        <v>#DIV/0!</v>
      </c>
      <c r="J1072" s="24" t="e">
        <f>IF(Table4[[#This Row],[MARGIN]]&lt;25%, "REVIEW", "OK")</f>
        <v>#DIV/0!</v>
      </c>
    </row>
    <row r="1073" spans="1:10" ht="15.6" x14ac:dyDescent="0.3">
      <c r="A1073" s="13" t="s">
        <v>2178</v>
      </c>
      <c r="B1073" s="13"/>
      <c r="C1073" s="13"/>
      <c r="D1073" s="11"/>
      <c r="E1073" s="11"/>
      <c r="F1073" s="13"/>
      <c r="G1073" s="47"/>
      <c r="H1073" s="51">
        <f t="shared" si="2"/>
        <v>0</v>
      </c>
      <c r="I1073" s="44" t="e">
        <f>(Table4[[#This Row],[SALE PRICE]]-Table4[[#This Row],[COST PRICE]])/Table4[[#This Row],[SALE PRICE]]</f>
        <v>#DIV/0!</v>
      </c>
      <c r="J1073" s="13" t="e">
        <f>IF(Table4[[#This Row],[MARGIN]]&lt;25%, "REVIEW", "OK")</f>
        <v>#DIV/0!</v>
      </c>
    </row>
    <row r="1074" spans="1:10" ht="15.6" x14ac:dyDescent="0.3">
      <c r="A1074" s="24" t="s">
        <v>2179</v>
      </c>
      <c r="B1074" s="24"/>
      <c r="C1074" s="24"/>
      <c r="D1074" s="25"/>
      <c r="E1074" s="25"/>
      <c r="F1074" s="24"/>
      <c r="G1074" s="49"/>
      <c r="H1074" s="52">
        <f t="shared" si="2"/>
        <v>0</v>
      </c>
      <c r="I1074" s="45" t="e">
        <f>(Table4[[#This Row],[SALE PRICE]]-Table4[[#This Row],[COST PRICE]])/Table4[[#This Row],[SALE PRICE]]</f>
        <v>#DIV/0!</v>
      </c>
      <c r="J1074" s="24" t="e">
        <f>IF(Table4[[#This Row],[MARGIN]]&lt;25%, "REVIEW", "OK")</f>
        <v>#DIV/0!</v>
      </c>
    </row>
    <row r="1075" spans="1:10" ht="15.6" x14ac:dyDescent="0.3">
      <c r="A1075" s="13" t="s">
        <v>2180</v>
      </c>
      <c r="B1075" s="13"/>
      <c r="C1075" s="13"/>
      <c r="D1075" s="11"/>
      <c r="E1075" s="11"/>
      <c r="F1075" s="13"/>
      <c r="G1075" s="47"/>
      <c r="H1075" s="51">
        <f t="shared" si="2"/>
        <v>0</v>
      </c>
      <c r="I1075" s="44" t="e">
        <f>(Table4[[#This Row],[SALE PRICE]]-Table4[[#This Row],[COST PRICE]])/Table4[[#This Row],[SALE PRICE]]</f>
        <v>#DIV/0!</v>
      </c>
      <c r="J1075" s="13" t="e">
        <f>IF(Table4[[#This Row],[MARGIN]]&lt;25%, "REVIEW", "OK")</f>
        <v>#DIV/0!</v>
      </c>
    </row>
    <row r="1076" spans="1:10" ht="15.6" x14ac:dyDescent="0.3">
      <c r="A1076" s="24" t="s">
        <v>2181</v>
      </c>
      <c r="B1076" s="24" t="s">
        <v>2259</v>
      </c>
      <c r="C1076" s="24" t="s">
        <v>1428</v>
      </c>
      <c r="D1076" s="25"/>
      <c r="E1076" s="25"/>
      <c r="F1076" s="24"/>
      <c r="G1076" s="49">
        <v>21.99</v>
      </c>
      <c r="H1076" s="52">
        <f t="shared" si="2"/>
        <v>32.984999999999999</v>
      </c>
      <c r="I1076" s="45">
        <f>(Table4[[#This Row],[SALE PRICE]]-Table4[[#This Row],[COST PRICE]])/Table4[[#This Row],[SALE PRICE]]</f>
        <v>0.33333333333333337</v>
      </c>
      <c r="J1076" s="24" t="str">
        <f>IF(Table4[[#This Row],[MARGIN]]&lt;25%, "REVIEW", "OK")</f>
        <v>OK</v>
      </c>
    </row>
    <row r="1077" spans="1:10" ht="15.6" x14ac:dyDescent="0.3">
      <c r="A1077" s="13" t="s">
        <v>2182</v>
      </c>
      <c r="B1077" s="13" t="s">
        <v>2260</v>
      </c>
      <c r="C1077" s="13" t="s">
        <v>1426</v>
      </c>
      <c r="D1077" s="11"/>
      <c r="E1077" s="11"/>
      <c r="F1077" s="13"/>
      <c r="G1077" s="47">
        <v>11.19</v>
      </c>
      <c r="H1077" s="51">
        <f t="shared" si="2"/>
        <v>16.785</v>
      </c>
      <c r="I1077" s="44">
        <f>(Table4[[#This Row],[SALE PRICE]]-Table4[[#This Row],[COST PRICE]])/Table4[[#This Row],[SALE PRICE]]</f>
        <v>0.33333333333333337</v>
      </c>
      <c r="J1077" s="13" t="str">
        <f>IF(Table4[[#This Row],[MARGIN]]&lt;25%, "REVIEW", "OK")</f>
        <v>OK</v>
      </c>
    </row>
    <row r="1078" spans="1:10" ht="15.6" x14ac:dyDescent="0.3">
      <c r="A1078" s="24" t="s">
        <v>2183</v>
      </c>
      <c r="B1078" s="24" t="s">
        <v>2261</v>
      </c>
      <c r="C1078" s="24" t="s">
        <v>1432</v>
      </c>
      <c r="D1078" s="25"/>
      <c r="E1078" s="25"/>
      <c r="F1078" s="24"/>
      <c r="G1078" s="49">
        <v>24.99</v>
      </c>
      <c r="H1078" s="52">
        <f t="shared" si="2"/>
        <v>37.484999999999999</v>
      </c>
      <c r="I1078" s="45">
        <f>(Table4[[#This Row],[SALE PRICE]]-Table4[[#This Row],[COST PRICE]])/Table4[[#This Row],[SALE PRICE]]</f>
        <v>0.33333333333333337</v>
      </c>
      <c r="J1078" s="24" t="str">
        <f>IF(Table4[[#This Row],[MARGIN]]&lt;25%, "REVIEW", "OK")</f>
        <v>OK</v>
      </c>
    </row>
    <row r="1079" spans="1:10" ht="15.6" x14ac:dyDescent="0.3">
      <c r="A1079" s="13" t="s">
        <v>2184</v>
      </c>
      <c r="B1079" s="13" t="s">
        <v>2263</v>
      </c>
      <c r="C1079" s="13" t="s">
        <v>1430</v>
      </c>
      <c r="D1079" s="11"/>
      <c r="E1079" s="11"/>
      <c r="F1079" s="13"/>
      <c r="G1079" s="47">
        <v>3.15</v>
      </c>
      <c r="H1079" s="51">
        <f t="shared" si="2"/>
        <v>5.04</v>
      </c>
      <c r="I1079" s="44">
        <f>(Table4[[#This Row],[SALE PRICE]]-Table4[[#This Row],[COST PRICE]])/Table4[[#This Row],[SALE PRICE]]</f>
        <v>0.375</v>
      </c>
      <c r="J1079" s="13" t="str">
        <f>IF(Table4[[#This Row],[MARGIN]]&lt;25%, "REVIEW", "OK")</f>
        <v>OK</v>
      </c>
    </row>
    <row r="1080" spans="1:10" ht="15.6" x14ac:dyDescent="0.3">
      <c r="A1080" s="24" t="s">
        <v>2185</v>
      </c>
      <c r="B1080" s="24" t="s">
        <v>2262</v>
      </c>
      <c r="C1080" s="24" t="s">
        <v>1426</v>
      </c>
      <c r="D1080" s="25"/>
      <c r="E1080" s="25"/>
      <c r="F1080" s="24"/>
      <c r="G1080" s="49">
        <v>19.07</v>
      </c>
      <c r="H1080" s="52">
        <f t="shared" si="2"/>
        <v>28.605</v>
      </c>
      <c r="I1080" s="45">
        <f>(Table4[[#This Row],[SALE PRICE]]-Table4[[#This Row],[COST PRICE]])/Table4[[#This Row],[SALE PRICE]]</f>
        <v>0.33333333333333331</v>
      </c>
      <c r="J1080" s="24" t="str">
        <f>IF(Table4[[#This Row],[MARGIN]]&lt;25%, "REVIEW", "OK")</f>
        <v>OK</v>
      </c>
    </row>
    <row r="1081" spans="1:10" ht="15.6" x14ac:dyDescent="0.3">
      <c r="A1081" s="13" t="s">
        <v>2186</v>
      </c>
      <c r="B1081" s="13" t="s">
        <v>2264</v>
      </c>
      <c r="C1081" s="13" t="s">
        <v>1426</v>
      </c>
      <c r="D1081" s="11"/>
      <c r="E1081" s="11"/>
      <c r="F1081" s="13"/>
      <c r="G1081" s="47">
        <v>29.75</v>
      </c>
      <c r="H1081" s="51">
        <f t="shared" si="2"/>
        <v>41.65</v>
      </c>
      <c r="I1081" s="44">
        <f>(Table4[[#This Row],[SALE PRICE]]-Table4[[#This Row],[COST PRICE]])/Table4[[#This Row],[SALE PRICE]]</f>
        <v>0.2857142857142857</v>
      </c>
      <c r="J1081" s="13" t="str">
        <f>IF(Table4[[#This Row],[MARGIN]]&lt;25%, "REVIEW", "OK")</f>
        <v>OK</v>
      </c>
    </row>
    <row r="1082" spans="1:10" ht="15.6" x14ac:dyDescent="0.3">
      <c r="A1082" s="24" t="s">
        <v>2187</v>
      </c>
      <c r="B1082" s="24" t="s">
        <v>2265</v>
      </c>
      <c r="C1082" s="24" t="s">
        <v>1432</v>
      </c>
      <c r="D1082" s="25"/>
      <c r="E1082" s="25"/>
      <c r="F1082" s="24"/>
      <c r="G1082" s="49">
        <v>5.49</v>
      </c>
      <c r="H1082" s="52">
        <f t="shared" si="2"/>
        <v>8.509500000000001</v>
      </c>
      <c r="I1082" s="45">
        <f>(Table4[[#This Row],[SALE PRICE]]-Table4[[#This Row],[COST PRICE]])/Table4[[#This Row],[SALE PRICE]]</f>
        <v>0.35483870967741943</v>
      </c>
      <c r="J1082" s="24" t="str">
        <f>IF(Table4[[#This Row],[MARGIN]]&lt;25%, "REVIEW", "OK")</f>
        <v>OK</v>
      </c>
    </row>
    <row r="1083" spans="1:10" ht="15.6" x14ac:dyDescent="0.3">
      <c r="A1083" s="13" t="s">
        <v>2188</v>
      </c>
      <c r="B1083" s="13" t="s">
        <v>2266</v>
      </c>
      <c r="C1083" s="13" t="s">
        <v>1429</v>
      </c>
      <c r="D1083" s="11"/>
      <c r="E1083" s="11"/>
      <c r="F1083" s="13"/>
      <c r="G1083" s="47">
        <v>1.99</v>
      </c>
      <c r="H1083" s="51">
        <f t="shared" si="2"/>
        <v>3.1840000000000002</v>
      </c>
      <c r="I1083" s="44">
        <f>(Table4[[#This Row],[SALE PRICE]]-Table4[[#This Row],[COST PRICE]])/Table4[[#This Row],[SALE PRICE]]</f>
        <v>0.37500000000000006</v>
      </c>
      <c r="J1083" s="13" t="str">
        <f>IF(Table4[[#This Row],[MARGIN]]&lt;25%, "REVIEW", "OK")</f>
        <v>OK</v>
      </c>
    </row>
    <row r="1084" spans="1:10" ht="15.6" x14ac:dyDescent="0.3">
      <c r="A1084" s="24" t="s">
        <v>2189</v>
      </c>
      <c r="B1084" s="24" t="s">
        <v>2267</v>
      </c>
      <c r="C1084" s="24" t="s">
        <v>1429</v>
      </c>
      <c r="D1084" s="25"/>
      <c r="E1084" s="25"/>
      <c r="F1084" s="24"/>
      <c r="G1084" s="49">
        <v>1.99</v>
      </c>
      <c r="H1084" s="52">
        <f t="shared" si="2"/>
        <v>3.1840000000000002</v>
      </c>
      <c r="I1084" s="45">
        <f>(Table4[[#This Row],[SALE PRICE]]-Table4[[#This Row],[COST PRICE]])/Table4[[#This Row],[SALE PRICE]]</f>
        <v>0.37500000000000006</v>
      </c>
      <c r="J1084" s="24" t="str">
        <f>IF(Table4[[#This Row],[MARGIN]]&lt;25%, "REVIEW", "OK")</f>
        <v>OK</v>
      </c>
    </row>
    <row r="1085" spans="1:10" ht="15.6" x14ac:dyDescent="0.3">
      <c r="A1085" s="13" t="s">
        <v>2190</v>
      </c>
      <c r="B1085" s="13" t="s">
        <v>2268</v>
      </c>
      <c r="C1085" s="13" t="s">
        <v>1429</v>
      </c>
      <c r="D1085" s="11"/>
      <c r="E1085" s="11"/>
      <c r="F1085" s="13"/>
      <c r="G1085" s="47">
        <v>1.19</v>
      </c>
      <c r="H1085" s="51">
        <f t="shared" si="2"/>
        <v>1.9039999999999999</v>
      </c>
      <c r="I1085" s="44">
        <f>(Table4[[#This Row],[SALE PRICE]]-Table4[[#This Row],[COST PRICE]])/Table4[[#This Row],[SALE PRICE]]</f>
        <v>0.375</v>
      </c>
      <c r="J1085" s="13" t="str">
        <f>IF(Table4[[#This Row],[MARGIN]]&lt;25%, "REVIEW", "OK")</f>
        <v>OK</v>
      </c>
    </row>
    <row r="1086" spans="1:10" ht="15.6" x14ac:dyDescent="0.3">
      <c r="A1086" s="24" t="s">
        <v>2191</v>
      </c>
      <c r="B1086" s="24" t="s">
        <v>2269</v>
      </c>
      <c r="C1086" s="24" t="s">
        <v>1426</v>
      </c>
      <c r="D1086" s="25"/>
      <c r="E1086" s="25"/>
      <c r="F1086" s="24"/>
      <c r="G1086" s="49">
        <v>14.15</v>
      </c>
      <c r="H1086" s="52">
        <f t="shared" si="2"/>
        <v>21.225000000000001</v>
      </c>
      <c r="I1086" s="45">
        <f>(Table4[[#This Row],[SALE PRICE]]-Table4[[#This Row],[COST PRICE]])/Table4[[#This Row],[SALE PRICE]]</f>
        <v>0.33333333333333337</v>
      </c>
      <c r="J1086" s="24" t="str">
        <f>IF(Table4[[#This Row],[MARGIN]]&lt;25%, "REVIEW", "OK")</f>
        <v>OK</v>
      </c>
    </row>
    <row r="1087" spans="1:10" ht="15.6" x14ac:dyDescent="0.3">
      <c r="A1087" s="13" t="s">
        <v>2192</v>
      </c>
      <c r="B1087" s="13" t="s">
        <v>2270</v>
      </c>
      <c r="C1087" s="13" t="s">
        <v>1429</v>
      </c>
      <c r="D1087" s="11"/>
      <c r="E1087" s="11"/>
      <c r="F1087" s="13"/>
      <c r="G1087" s="47">
        <v>3.49</v>
      </c>
      <c r="H1087" s="51">
        <f t="shared" si="2"/>
        <v>5.5840000000000005</v>
      </c>
      <c r="I1087" s="44">
        <f>(Table4[[#This Row],[SALE PRICE]]-Table4[[#This Row],[COST PRICE]])/Table4[[#This Row],[SALE PRICE]]</f>
        <v>0.375</v>
      </c>
      <c r="J1087" s="13" t="str">
        <f>IF(Table4[[#This Row],[MARGIN]]&lt;25%, "REVIEW", "OK")</f>
        <v>OK</v>
      </c>
    </row>
    <row r="1088" spans="1:10" ht="15.6" x14ac:dyDescent="0.3">
      <c r="A1088" s="24" t="s">
        <v>2193</v>
      </c>
      <c r="B1088" s="24" t="s">
        <v>2271</v>
      </c>
      <c r="C1088" s="24" t="s">
        <v>1430</v>
      </c>
      <c r="D1088" s="25"/>
      <c r="E1088" s="25"/>
      <c r="F1088" s="24"/>
      <c r="G1088" s="49">
        <v>1.99</v>
      </c>
      <c r="H1088" s="52">
        <f t="shared" si="2"/>
        <v>3.1840000000000002</v>
      </c>
      <c r="I1088" s="45">
        <f>(Table4[[#This Row],[SALE PRICE]]-Table4[[#This Row],[COST PRICE]])/Table4[[#This Row],[SALE PRICE]]</f>
        <v>0.37500000000000006</v>
      </c>
      <c r="J1088" s="24" t="str">
        <f>IF(Table4[[#This Row],[MARGIN]]&lt;25%, "REVIEW", "OK")</f>
        <v>OK</v>
      </c>
    </row>
    <row r="1089" spans="1:10" ht="15.6" x14ac:dyDescent="0.3">
      <c r="A1089" s="13" t="s">
        <v>2194</v>
      </c>
      <c r="B1089" s="13" t="s">
        <v>2272</v>
      </c>
      <c r="C1089" s="13" t="s">
        <v>1430</v>
      </c>
      <c r="D1089" s="11"/>
      <c r="E1089" s="11"/>
      <c r="F1089" s="13"/>
      <c r="G1089" s="47">
        <v>1.99</v>
      </c>
      <c r="H1089" s="51">
        <f t="shared" si="2"/>
        <v>3.1840000000000002</v>
      </c>
      <c r="I1089" s="44">
        <f>(Table4[[#This Row],[SALE PRICE]]-Table4[[#This Row],[COST PRICE]])/Table4[[#This Row],[SALE PRICE]]</f>
        <v>0.37500000000000006</v>
      </c>
      <c r="J1089" s="13" t="str">
        <f>IF(Table4[[#This Row],[MARGIN]]&lt;25%, "REVIEW", "OK")</f>
        <v>OK</v>
      </c>
    </row>
    <row r="1090" spans="1:10" ht="15.6" x14ac:dyDescent="0.3">
      <c r="A1090" s="24" t="s">
        <v>2195</v>
      </c>
      <c r="B1090" s="24" t="s">
        <v>2273</v>
      </c>
      <c r="C1090" s="24" t="s">
        <v>1430</v>
      </c>
      <c r="D1090" s="25"/>
      <c r="E1090" s="25"/>
      <c r="F1090" s="24"/>
      <c r="G1090" s="49">
        <v>7.49</v>
      </c>
      <c r="H1090" s="52">
        <f t="shared" si="2"/>
        <v>11.609500000000001</v>
      </c>
      <c r="I1090" s="45">
        <f>(Table4[[#This Row],[SALE PRICE]]-Table4[[#This Row],[COST PRICE]])/Table4[[#This Row],[SALE PRICE]]</f>
        <v>0.35483870967741937</v>
      </c>
      <c r="J1090" s="24" t="str">
        <f>IF(Table4[[#This Row],[MARGIN]]&lt;25%, "REVIEW", "OK")</f>
        <v>OK</v>
      </c>
    </row>
    <row r="1091" spans="1:10" ht="15.6" x14ac:dyDescent="0.3">
      <c r="A1091" s="13" t="s">
        <v>2196</v>
      </c>
      <c r="B1091" s="13" t="s">
        <v>2274</v>
      </c>
      <c r="C1091" s="13" t="s">
        <v>1430</v>
      </c>
      <c r="D1091" s="11"/>
      <c r="E1091" s="11"/>
      <c r="F1091" s="13"/>
      <c r="G1091" s="47">
        <v>1.99</v>
      </c>
      <c r="H1091" s="51">
        <f t="shared" si="2"/>
        <v>3.1840000000000002</v>
      </c>
      <c r="I1091" s="44">
        <f>(Table4[[#This Row],[SALE PRICE]]-Table4[[#This Row],[COST PRICE]])/Table4[[#This Row],[SALE PRICE]]</f>
        <v>0.37500000000000006</v>
      </c>
      <c r="J1091" s="13" t="str">
        <f>IF(Table4[[#This Row],[MARGIN]]&lt;25%, "REVIEW", "OK")</f>
        <v>OK</v>
      </c>
    </row>
    <row r="1092" spans="1:10" ht="15.6" x14ac:dyDescent="0.3">
      <c r="A1092" s="24" t="s">
        <v>2197</v>
      </c>
      <c r="B1092" s="24" t="s">
        <v>2275</v>
      </c>
      <c r="C1092" s="24" t="s">
        <v>1430</v>
      </c>
      <c r="D1092" s="25"/>
      <c r="E1092" s="25"/>
      <c r="F1092" s="24"/>
      <c r="G1092" s="49">
        <v>1.49</v>
      </c>
      <c r="H1092" s="52">
        <f t="shared" si="2"/>
        <v>2.3839999999999999</v>
      </c>
      <c r="I1092" s="45">
        <f>(Table4[[#This Row],[SALE PRICE]]-Table4[[#This Row],[COST PRICE]])/Table4[[#This Row],[SALE PRICE]]</f>
        <v>0.375</v>
      </c>
      <c r="J1092" s="24" t="str">
        <f>IF(Table4[[#This Row],[MARGIN]]&lt;25%, "REVIEW", "OK")</f>
        <v>OK</v>
      </c>
    </row>
    <row r="1093" spans="1:10" ht="15.6" x14ac:dyDescent="0.3">
      <c r="A1093" s="13" t="s">
        <v>2198</v>
      </c>
      <c r="B1093" s="13" t="s">
        <v>2276</v>
      </c>
      <c r="C1093" s="13" t="s">
        <v>1430</v>
      </c>
      <c r="D1093" s="11"/>
      <c r="E1093" s="11"/>
      <c r="F1093" s="13"/>
      <c r="G1093" s="47">
        <v>1.49</v>
      </c>
      <c r="H1093" s="51">
        <f t="shared" si="2"/>
        <v>2.3839999999999999</v>
      </c>
      <c r="I1093" s="44">
        <f>(Table4[[#This Row],[SALE PRICE]]-Table4[[#This Row],[COST PRICE]])/Table4[[#This Row],[SALE PRICE]]</f>
        <v>0.375</v>
      </c>
      <c r="J1093" s="13" t="str">
        <f>IF(Table4[[#This Row],[MARGIN]]&lt;25%, "REVIEW", "OK")</f>
        <v>OK</v>
      </c>
    </row>
    <row r="1094" spans="1:10" ht="15.6" x14ac:dyDescent="0.3">
      <c r="A1094" s="24" t="s">
        <v>2199</v>
      </c>
      <c r="B1094" s="24" t="s">
        <v>2277</v>
      </c>
      <c r="C1094" s="24" t="s">
        <v>1430</v>
      </c>
      <c r="D1094" s="25"/>
      <c r="E1094" s="25"/>
      <c r="F1094" s="24"/>
      <c r="G1094" s="49">
        <v>2.4900000000000002</v>
      </c>
      <c r="H1094" s="52">
        <f t="shared" si="2"/>
        <v>3.9840000000000004</v>
      </c>
      <c r="I1094" s="45">
        <f>(Table4[[#This Row],[SALE PRICE]]-Table4[[#This Row],[COST PRICE]])/Table4[[#This Row],[SALE PRICE]]</f>
        <v>0.375</v>
      </c>
      <c r="J1094" s="24" t="str">
        <f>IF(Table4[[#This Row],[MARGIN]]&lt;25%, "REVIEW", "OK")</f>
        <v>OK</v>
      </c>
    </row>
    <row r="1095" spans="1:10" ht="15.6" x14ac:dyDescent="0.3">
      <c r="A1095" s="13" t="s">
        <v>2200</v>
      </c>
      <c r="B1095" s="13" t="s">
        <v>2278</v>
      </c>
      <c r="C1095" s="13" t="s">
        <v>1428</v>
      </c>
      <c r="D1095" s="11"/>
      <c r="E1095" s="11"/>
      <c r="F1095" s="13"/>
      <c r="G1095" s="47">
        <v>2.89</v>
      </c>
      <c r="H1095" s="51">
        <f t="shared" si="2"/>
        <v>4.6240000000000006</v>
      </c>
      <c r="I1095" s="44">
        <f>(Table4[[#This Row],[SALE PRICE]]-Table4[[#This Row],[COST PRICE]])/Table4[[#This Row],[SALE PRICE]]</f>
        <v>0.37500000000000006</v>
      </c>
      <c r="J1095" s="13" t="str">
        <f>IF(Table4[[#This Row],[MARGIN]]&lt;25%, "REVIEW", "OK")</f>
        <v>OK</v>
      </c>
    </row>
    <row r="1096" spans="1:10" ht="15.6" x14ac:dyDescent="0.3">
      <c r="A1096" s="24" t="s">
        <v>2201</v>
      </c>
      <c r="B1096" s="24" t="s">
        <v>2279</v>
      </c>
      <c r="C1096" s="24" t="s">
        <v>1434</v>
      </c>
      <c r="D1096" s="25"/>
      <c r="E1096" s="25"/>
      <c r="F1096" s="24"/>
      <c r="G1096" s="49">
        <v>4.49</v>
      </c>
      <c r="H1096" s="52">
        <f t="shared" si="2"/>
        <v>7.1840000000000011</v>
      </c>
      <c r="I1096" s="45">
        <f>(Table4[[#This Row],[SALE PRICE]]-Table4[[#This Row],[COST PRICE]])/Table4[[#This Row],[SALE PRICE]]</f>
        <v>0.37500000000000006</v>
      </c>
      <c r="J1096" s="24" t="str">
        <f>IF(Table4[[#This Row],[MARGIN]]&lt;25%, "REVIEW", "OK")</f>
        <v>OK</v>
      </c>
    </row>
    <row r="1097" spans="1:10" ht="15.6" x14ac:dyDescent="0.3">
      <c r="A1097" s="13" t="s">
        <v>2202</v>
      </c>
      <c r="B1097" s="13" t="s">
        <v>2280</v>
      </c>
      <c r="C1097" s="13" t="s">
        <v>1430</v>
      </c>
      <c r="D1097" s="11"/>
      <c r="E1097" s="11"/>
      <c r="F1097" s="13"/>
      <c r="G1097" s="47">
        <v>3.49</v>
      </c>
      <c r="H1097" s="51">
        <f t="shared" si="2"/>
        <v>5.5840000000000005</v>
      </c>
      <c r="I1097" s="44">
        <f>(Table4[[#This Row],[SALE PRICE]]-Table4[[#This Row],[COST PRICE]])/Table4[[#This Row],[SALE PRICE]]</f>
        <v>0.375</v>
      </c>
      <c r="J1097" s="13" t="str">
        <f>IF(Table4[[#This Row],[MARGIN]]&lt;25%, "REVIEW", "OK")</f>
        <v>OK</v>
      </c>
    </row>
    <row r="1098" spans="1:10" ht="15.6" x14ac:dyDescent="0.3">
      <c r="A1098" s="24" t="s">
        <v>2203</v>
      </c>
      <c r="B1098" s="24" t="s">
        <v>2281</v>
      </c>
      <c r="C1098" s="24" t="s">
        <v>1429</v>
      </c>
      <c r="D1098" s="25"/>
      <c r="E1098" s="25"/>
      <c r="F1098" s="24"/>
      <c r="G1098" s="49">
        <v>5.5</v>
      </c>
      <c r="H1098" s="52">
        <f t="shared" si="2"/>
        <v>8.5250000000000004</v>
      </c>
      <c r="I1098" s="45">
        <f>(Table4[[#This Row],[SALE PRICE]]-Table4[[#This Row],[COST PRICE]])/Table4[[#This Row],[SALE PRICE]]</f>
        <v>0.35483870967741937</v>
      </c>
      <c r="J1098" s="24" t="str">
        <f>IF(Table4[[#This Row],[MARGIN]]&lt;25%, "REVIEW", "OK")</f>
        <v>OK</v>
      </c>
    </row>
    <row r="1099" spans="1:10" ht="15.6" x14ac:dyDescent="0.3">
      <c r="A1099" s="13" t="s">
        <v>2204</v>
      </c>
      <c r="B1099" s="13" t="s">
        <v>2282</v>
      </c>
      <c r="C1099" s="13" t="s">
        <v>1426</v>
      </c>
      <c r="D1099" s="11"/>
      <c r="E1099" s="11"/>
      <c r="F1099" s="13"/>
      <c r="G1099" s="47">
        <v>7.59</v>
      </c>
      <c r="H1099" s="51">
        <f t="shared" ref="H1099:H1138" si="3">IF(G1099&lt;=5,G1099*1.6,
IF(G1099&lt;=10,G1099*1.55,
IF(G1099&lt;=25,G1099*1.5,
IF(G1099&lt;=50,G1099*1.4,
IF(G1099&lt;=100,G1099*1.4,
G1099*1.4)))))</f>
        <v>11.7645</v>
      </c>
      <c r="I1099" s="44">
        <f>(Table4[[#This Row],[SALE PRICE]]-Table4[[#This Row],[COST PRICE]])/Table4[[#This Row],[SALE PRICE]]</f>
        <v>0.35483870967741937</v>
      </c>
      <c r="J1099" s="13" t="str">
        <f>IF(Table4[[#This Row],[MARGIN]]&lt;25%, "REVIEW", "OK")</f>
        <v>OK</v>
      </c>
    </row>
    <row r="1100" spans="1:10" ht="15.6" x14ac:dyDescent="0.3">
      <c r="A1100" s="24" t="s">
        <v>2205</v>
      </c>
      <c r="B1100" s="24" t="s">
        <v>2283</v>
      </c>
      <c r="C1100" s="24" t="s">
        <v>1426</v>
      </c>
      <c r="D1100" s="25"/>
      <c r="E1100" s="25"/>
      <c r="F1100" s="24"/>
      <c r="G1100" s="49">
        <v>14.69</v>
      </c>
      <c r="H1100" s="52">
        <f t="shared" si="3"/>
        <v>22.035</v>
      </c>
      <c r="I1100" s="45">
        <f>(Table4[[#This Row],[SALE PRICE]]-Table4[[#This Row],[COST PRICE]])/Table4[[#This Row],[SALE PRICE]]</f>
        <v>0.33333333333333337</v>
      </c>
      <c r="J1100" s="24" t="str">
        <f>IF(Table4[[#This Row],[MARGIN]]&lt;25%, "REVIEW", "OK")</f>
        <v>OK</v>
      </c>
    </row>
    <row r="1101" spans="1:10" ht="15.6" x14ac:dyDescent="0.3">
      <c r="A1101" s="13" t="s">
        <v>2206</v>
      </c>
      <c r="B1101" s="13" t="s">
        <v>2284</v>
      </c>
      <c r="C1101" s="13" t="s">
        <v>1427</v>
      </c>
      <c r="D1101" s="11"/>
      <c r="E1101" s="11"/>
      <c r="F1101" s="13"/>
      <c r="G1101" s="47">
        <v>2.99</v>
      </c>
      <c r="H1101" s="51">
        <f t="shared" si="3"/>
        <v>4.7840000000000007</v>
      </c>
      <c r="I1101" s="44">
        <f>(Table4[[#This Row],[SALE PRICE]]-Table4[[#This Row],[COST PRICE]])/Table4[[#This Row],[SALE PRICE]]</f>
        <v>0.37500000000000006</v>
      </c>
      <c r="J1101" s="13" t="str">
        <f>IF(Table4[[#This Row],[MARGIN]]&lt;25%, "REVIEW", "OK")</f>
        <v>OK</v>
      </c>
    </row>
    <row r="1102" spans="1:10" ht="15.6" x14ac:dyDescent="0.3">
      <c r="A1102" s="24" t="s">
        <v>2207</v>
      </c>
      <c r="B1102" s="24" t="s">
        <v>2285</v>
      </c>
      <c r="C1102" s="24" t="s">
        <v>1428</v>
      </c>
      <c r="D1102" s="25"/>
      <c r="E1102" s="25"/>
      <c r="F1102" s="24"/>
      <c r="G1102" s="49">
        <v>26.99</v>
      </c>
      <c r="H1102" s="52">
        <f t="shared" si="3"/>
        <v>37.785999999999994</v>
      </c>
      <c r="I1102" s="45">
        <f>(Table4[[#This Row],[SALE PRICE]]-Table4[[#This Row],[COST PRICE]])/Table4[[#This Row],[SALE PRICE]]</f>
        <v>0.28571428571428564</v>
      </c>
      <c r="J1102" s="24" t="str">
        <f>IF(Table4[[#This Row],[MARGIN]]&lt;25%, "REVIEW", "OK")</f>
        <v>OK</v>
      </c>
    </row>
    <row r="1103" spans="1:10" ht="15.6" x14ac:dyDescent="0.3">
      <c r="A1103" s="13" t="s">
        <v>2208</v>
      </c>
      <c r="B1103" s="13"/>
      <c r="C1103" s="13"/>
      <c r="D1103" s="11"/>
      <c r="E1103" s="11"/>
      <c r="F1103" s="13"/>
      <c r="G1103" s="47"/>
      <c r="H1103" s="51">
        <f t="shared" si="3"/>
        <v>0</v>
      </c>
      <c r="I1103" s="44" t="e">
        <f>(Table4[[#This Row],[SALE PRICE]]-Table4[[#This Row],[COST PRICE]])/Table4[[#This Row],[SALE PRICE]]</f>
        <v>#DIV/0!</v>
      </c>
      <c r="J1103" s="13" t="e">
        <f>IF(Table4[[#This Row],[MARGIN]]&lt;25%, "REVIEW", "OK")</f>
        <v>#DIV/0!</v>
      </c>
    </row>
    <row r="1104" spans="1:10" ht="15.6" x14ac:dyDescent="0.3">
      <c r="A1104" s="24" t="s">
        <v>2209</v>
      </c>
      <c r="B1104" s="24"/>
      <c r="C1104" s="24"/>
      <c r="D1104" s="25"/>
      <c r="E1104" s="25"/>
      <c r="F1104" s="24"/>
      <c r="G1104" s="49"/>
      <c r="H1104" s="52">
        <f t="shared" si="3"/>
        <v>0</v>
      </c>
      <c r="I1104" s="45" t="e">
        <f>(Table4[[#This Row],[SALE PRICE]]-Table4[[#This Row],[COST PRICE]])/Table4[[#This Row],[SALE PRICE]]</f>
        <v>#DIV/0!</v>
      </c>
      <c r="J1104" s="24" t="e">
        <f>IF(Table4[[#This Row],[MARGIN]]&lt;25%, "REVIEW", "OK")</f>
        <v>#DIV/0!</v>
      </c>
    </row>
    <row r="1105" spans="1:10" ht="15.6" x14ac:dyDescent="0.3">
      <c r="A1105" s="13" t="s">
        <v>2210</v>
      </c>
      <c r="B1105" s="13"/>
      <c r="C1105" s="13"/>
      <c r="D1105" s="11"/>
      <c r="E1105" s="11"/>
      <c r="F1105" s="13"/>
      <c r="G1105" s="47"/>
      <c r="H1105" s="51">
        <f t="shared" si="3"/>
        <v>0</v>
      </c>
      <c r="I1105" s="44" t="e">
        <f>(Table4[[#This Row],[SALE PRICE]]-Table4[[#This Row],[COST PRICE]])/Table4[[#This Row],[SALE PRICE]]</f>
        <v>#DIV/0!</v>
      </c>
      <c r="J1105" s="13" t="e">
        <f>IF(Table4[[#This Row],[MARGIN]]&lt;25%, "REVIEW", "OK")</f>
        <v>#DIV/0!</v>
      </c>
    </row>
    <row r="1106" spans="1:10" ht="15.6" x14ac:dyDescent="0.3">
      <c r="A1106" s="24" t="s">
        <v>2211</v>
      </c>
      <c r="B1106" s="24"/>
      <c r="C1106" s="24"/>
      <c r="D1106" s="25"/>
      <c r="E1106" s="25"/>
      <c r="F1106" s="24"/>
      <c r="G1106" s="49"/>
      <c r="H1106" s="52">
        <f t="shared" si="3"/>
        <v>0</v>
      </c>
      <c r="I1106" s="45" t="e">
        <f>(Table4[[#This Row],[SALE PRICE]]-Table4[[#This Row],[COST PRICE]])/Table4[[#This Row],[SALE PRICE]]</f>
        <v>#DIV/0!</v>
      </c>
      <c r="J1106" s="24" t="e">
        <f>IF(Table4[[#This Row],[MARGIN]]&lt;25%, "REVIEW", "OK")</f>
        <v>#DIV/0!</v>
      </c>
    </row>
    <row r="1107" spans="1:10" ht="15.6" x14ac:dyDescent="0.3">
      <c r="A1107" s="13" t="s">
        <v>2212</v>
      </c>
      <c r="B1107" s="13"/>
      <c r="C1107" s="13"/>
      <c r="D1107" s="11"/>
      <c r="E1107" s="11"/>
      <c r="F1107" s="13"/>
      <c r="G1107" s="47"/>
      <c r="H1107" s="51">
        <f t="shared" si="3"/>
        <v>0</v>
      </c>
      <c r="I1107" s="44" t="e">
        <f>(Table4[[#This Row],[SALE PRICE]]-Table4[[#This Row],[COST PRICE]])/Table4[[#This Row],[SALE PRICE]]</f>
        <v>#DIV/0!</v>
      </c>
      <c r="J1107" s="13" t="e">
        <f>IF(Table4[[#This Row],[MARGIN]]&lt;25%, "REVIEW", "OK")</f>
        <v>#DIV/0!</v>
      </c>
    </row>
    <row r="1108" spans="1:10" ht="15.6" x14ac:dyDescent="0.3">
      <c r="A1108" s="24" t="s">
        <v>2213</v>
      </c>
      <c r="B1108" s="24"/>
      <c r="C1108" s="24"/>
      <c r="D1108" s="25"/>
      <c r="E1108" s="25"/>
      <c r="F1108" s="24"/>
      <c r="G1108" s="49"/>
      <c r="H1108" s="52">
        <f t="shared" si="3"/>
        <v>0</v>
      </c>
      <c r="I1108" s="45" t="e">
        <f>(Table4[[#This Row],[SALE PRICE]]-Table4[[#This Row],[COST PRICE]])/Table4[[#This Row],[SALE PRICE]]</f>
        <v>#DIV/0!</v>
      </c>
      <c r="J1108" s="24" t="e">
        <f>IF(Table4[[#This Row],[MARGIN]]&lt;25%, "REVIEW", "OK")</f>
        <v>#DIV/0!</v>
      </c>
    </row>
    <row r="1109" spans="1:10" ht="15.6" x14ac:dyDescent="0.3">
      <c r="A1109" s="13" t="s">
        <v>2214</v>
      </c>
      <c r="B1109" s="13"/>
      <c r="C1109" s="13"/>
      <c r="D1109" s="11"/>
      <c r="E1109" s="11"/>
      <c r="F1109" s="13"/>
      <c r="G1109" s="47"/>
      <c r="H1109" s="51">
        <f t="shared" si="3"/>
        <v>0</v>
      </c>
      <c r="I1109" s="44" t="e">
        <f>(Table4[[#This Row],[SALE PRICE]]-Table4[[#This Row],[COST PRICE]])/Table4[[#This Row],[SALE PRICE]]</f>
        <v>#DIV/0!</v>
      </c>
      <c r="J1109" s="13" t="e">
        <f>IF(Table4[[#This Row],[MARGIN]]&lt;25%, "REVIEW", "OK")</f>
        <v>#DIV/0!</v>
      </c>
    </row>
    <row r="1110" spans="1:10" ht="15.6" x14ac:dyDescent="0.3">
      <c r="A1110" s="24" t="s">
        <v>2215</v>
      </c>
      <c r="B1110" s="24"/>
      <c r="C1110" s="24"/>
      <c r="D1110" s="25"/>
      <c r="E1110" s="25"/>
      <c r="F1110" s="24"/>
      <c r="G1110" s="49"/>
      <c r="H1110" s="52">
        <f t="shared" si="3"/>
        <v>0</v>
      </c>
      <c r="I1110" s="45" t="e">
        <f>(Table4[[#This Row],[SALE PRICE]]-Table4[[#This Row],[COST PRICE]])/Table4[[#This Row],[SALE PRICE]]</f>
        <v>#DIV/0!</v>
      </c>
      <c r="J1110" s="24" t="e">
        <f>IF(Table4[[#This Row],[MARGIN]]&lt;25%, "REVIEW", "OK")</f>
        <v>#DIV/0!</v>
      </c>
    </row>
    <row r="1111" spans="1:10" ht="15.6" x14ac:dyDescent="0.3">
      <c r="A1111" s="13" t="s">
        <v>2216</v>
      </c>
      <c r="B1111" s="13"/>
      <c r="C1111" s="13"/>
      <c r="D1111" s="11"/>
      <c r="E1111" s="11"/>
      <c r="F1111" s="13"/>
      <c r="G1111" s="47"/>
      <c r="H1111" s="51">
        <f t="shared" si="3"/>
        <v>0</v>
      </c>
      <c r="I1111" s="44" t="e">
        <f>(Table4[[#This Row],[SALE PRICE]]-Table4[[#This Row],[COST PRICE]])/Table4[[#This Row],[SALE PRICE]]</f>
        <v>#DIV/0!</v>
      </c>
      <c r="J1111" s="13" t="e">
        <f>IF(Table4[[#This Row],[MARGIN]]&lt;25%, "REVIEW", "OK")</f>
        <v>#DIV/0!</v>
      </c>
    </row>
    <row r="1112" spans="1:10" ht="15.6" x14ac:dyDescent="0.3">
      <c r="A1112" s="24" t="s">
        <v>2217</v>
      </c>
      <c r="B1112" s="24"/>
      <c r="C1112" s="24"/>
      <c r="D1112" s="25"/>
      <c r="E1112" s="25"/>
      <c r="F1112" s="24"/>
      <c r="G1112" s="49"/>
      <c r="H1112" s="52">
        <f t="shared" si="3"/>
        <v>0</v>
      </c>
      <c r="I1112" s="45" t="e">
        <f>(Table4[[#This Row],[SALE PRICE]]-Table4[[#This Row],[COST PRICE]])/Table4[[#This Row],[SALE PRICE]]</f>
        <v>#DIV/0!</v>
      </c>
      <c r="J1112" s="24" t="e">
        <f>IF(Table4[[#This Row],[MARGIN]]&lt;25%, "REVIEW", "OK")</f>
        <v>#DIV/0!</v>
      </c>
    </row>
    <row r="1113" spans="1:10" ht="15.6" x14ac:dyDescent="0.3">
      <c r="A1113" s="13" t="s">
        <v>2218</v>
      </c>
      <c r="B1113" s="13"/>
      <c r="C1113" s="13"/>
      <c r="D1113" s="11"/>
      <c r="E1113" s="11"/>
      <c r="F1113" s="13"/>
      <c r="G1113" s="47"/>
      <c r="H1113" s="51">
        <f t="shared" si="3"/>
        <v>0</v>
      </c>
      <c r="I1113" s="44" t="e">
        <f>(Table4[[#This Row],[SALE PRICE]]-Table4[[#This Row],[COST PRICE]])/Table4[[#This Row],[SALE PRICE]]</f>
        <v>#DIV/0!</v>
      </c>
      <c r="J1113" s="13" t="e">
        <f>IF(Table4[[#This Row],[MARGIN]]&lt;25%, "REVIEW", "OK")</f>
        <v>#DIV/0!</v>
      </c>
    </row>
    <row r="1114" spans="1:10" ht="15.6" x14ac:dyDescent="0.3">
      <c r="A1114" s="24" t="s">
        <v>2219</v>
      </c>
      <c r="B1114" s="24"/>
      <c r="C1114" s="24"/>
      <c r="D1114" s="25"/>
      <c r="E1114" s="25"/>
      <c r="F1114" s="24"/>
      <c r="G1114" s="49"/>
      <c r="H1114" s="52">
        <f t="shared" si="3"/>
        <v>0</v>
      </c>
      <c r="I1114" s="45" t="e">
        <f>(Table4[[#This Row],[SALE PRICE]]-Table4[[#This Row],[COST PRICE]])/Table4[[#This Row],[SALE PRICE]]</f>
        <v>#DIV/0!</v>
      </c>
      <c r="J1114" s="24" t="e">
        <f>IF(Table4[[#This Row],[MARGIN]]&lt;25%, "REVIEW", "OK")</f>
        <v>#DIV/0!</v>
      </c>
    </row>
    <row r="1115" spans="1:10" ht="15.6" x14ac:dyDescent="0.3">
      <c r="A1115" s="13" t="s">
        <v>2220</v>
      </c>
      <c r="B1115" s="13"/>
      <c r="C1115" s="13"/>
      <c r="D1115" s="11"/>
      <c r="E1115" s="11"/>
      <c r="F1115" s="13"/>
      <c r="G1115" s="47"/>
      <c r="H1115" s="51">
        <f t="shared" si="3"/>
        <v>0</v>
      </c>
      <c r="I1115" s="44" t="e">
        <f>(Table4[[#This Row],[SALE PRICE]]-Table4[[#This Row],[COST PRICE]])/Table4[[#This Row],[SALE PRICE]]</f>
        <v>#DIV/0!</v>
      </c>
      <c r="J1115" s="13" t="e">
        <f>IF(Table4[[#This Row],[MARGIN]]&lt;25%, "REVIEW", "OK")</f>
        <v>#DIV/0!</v>
      </c>
    </row>
    <row r="1116" spans="1:10" ht="15.6" x14ac:dyDescent="0.3">
      <c r="A1116" s="24" t="s">
        <v>2221</v>
      </c>
      <c r="B1116" s="24"/>
      <c r="C1116" s="24"/>
      <c r="D1116" s="25"/>
      <c r="E1116" s="25"/>
      <c r="F1116" s="24"/>
      <c r="G1116" s="49"/>
      <c r="H1116" s="52">
        <f t="shared" si="3"/>
        <v>0</v>
      </c>
      <c r="I1116" s="45" t="e">
        <f>(Table4[[#This Row],[SALE PRICE]]-Table4[[#This Row],[COST PRICE]])/Table4[[#This Row],[SALE PRICE]]</f>
        <v>#DIV/0!</v>
      </c>
      <c r="J1116" s="24" t="e">
        <f>IF(Table4[[#This Row],[MARGIN]]&lt;25%, "REVIEW", "OK")</f>
        <v>#DIV/0!</v>
      </c>
    </row>
    <row r="1117" spans="1:10" ht="15.6" x14ac:dyDescent="0.3">
      <c r="A1117" s="13" t="s">
        <v>2222</v>
      </c>
      <c r="B1117" s="13"/>
      <c r="C1117" s="13"/>
      <c r="D1117" s="11"/>
      <c r="E1117" s="11"/>
      <c r="F1117" s="13"/>
      <c r="G1117" s="47"/>
      <c r="H1117" s="51">
        <f t="shared" si="3"/>
        <v>0</v>
      </c>
      <c r="I1117" s="44" t="e">
        <f>(Table4[[#This Row],[SALE PRICE]]-Table4[[#This Row],[COST PRICE]])/Table4[[#This Row],[SALE PRICE]]</f>
        <v>#DIV/0!</v>
      </c>
      <c r="J1117" s="13" t="e">
        <f>IF(Table4[[#This Row],[MARGIN]]&lt;25%, "REVIEW", "OK")</f>
        <v>#DIV/0!</v>
      </c>
    </row>
    <row r="1118" spans="1:10" ht="15.6" x14ac:dyDescent="0.3">
      <c r="A1118" s="24" t="s">
        <v>2223</v>
      </c>
      <c r="B1118" s="24"/>
      <c r="C1118" s="24"/>
      <c r="D1118" s="25"/>
      <c r="E1118" s="25"/>
      <c r="F1118" s="24"/>
      <c r="G1118" s="49"/>
      <c r="H1118" s="52">
        <f t="shared" si="3"/>
        <v>0</v>
      </c>
      <c r="I1118" s="45" t="e">
        <f>(Table4[[#This Row],[SALE PRICE]]-Table4[[#This Row],[COST PRICE]])/Table4[[#This Row],[SALE PRICE]]</f>
        <v>#DIV/0!</v>
      </c>
      <c r="J1118" s="24" t="e">
        <f>IF(Table4[[#This Row],[MARGIN]]&lt;25%, "REVIEW", "OK")</f>
        <v>#DIV/0!</v>
      </c>
    </row>
    <row r="1119" spans="1:10" ht="15.6" x14ac:dyDescent="0.3">
      <c r="A1119" s="13" t="s">
        <v>2224</v>
      </c>
      <c r="B1119" s="13"/>
      <c r="C1119" s="13"/>
      <c r="D1119" s="11"/>
      <c r="E1119" s="11"/>
      <c r="F1119" s="13"/>
      <c r="G1119" s="47"/>
      <c r="H1119" s="51">
        <f t="shared" si="3"/>
        <v>0</v>
      </c>
      <c r="I1119" s="44" t="e">
        <f>(Table4[[#This Row],[SALE PRICE]]-Table4[[#This Row],[COST PRICE]])/Table4[[#This Row],[SALE PRICE]]</f>
        <v>#DIV/0!</v>
      </c>
      <c r="J1119" s="13" t="e">
        <f>IF(Table4[[#This Row],[MARGIN]]&lt;25%, "REVIEW", "OK")</f>
        <v>#DIV/0!</v>
      </c>
    </row>
    <row r="1120" spans="1:10" ht="15.6" x14ac:dyDescent="0.3">
      <c r="A1120" s="24" t="s">
        <v>2225</v>
      </c>
      <c r="B1120" s="24"/>
      <c r="C1120" s="24"/>
      <c r="D1120" s="25"/>
      <c r="E1120" s="25"/>
      <c r="F1120" s="24"/>
      <c r="G1120" s="49"/>
      <c r="H1120" s="52">
        <f t="shared" si="3"/>
        <v>0</v>
      </c>
      <c r="I1120" s="45" t="e">
        <f>(Table4[[#This Row],[SALE PRICE]]-Table4[[#This Row],[COST PRICE]])/Table4[[#This Row],[SALE PRICE]]</f>
        <v>#DIV/0!</v>
      </c>
      <c r="J1120" s="24" t="e">
        <f>IF(Table4[[#This Row],[MARGIN]]&lt;25%, "REVIEW", "OK")</f>
        <v>#DIV/0!</v>
      </c>
    </row>
    <row r="1121" spans="1:10" ht="15.6" x14ac:dyDescent="0.3">
      <c r="A1121" s="13" t="s">
        <v>2226</v>
      </c>
      <c r="B1121" s="13"/>
      <c r="C1121" s="13"/>
      <c r="D1121" s="11"/>
      <c r="E1121" s="11"/>
      <c r="F1121" s="13"/>
      <c r="G1121" s="47"/>
      <c r="H1121" s="51">
        <f t="shared" si="3"/>
        <v>0</v>
      </c>
      <c r="I1121" s="44" t="e">
        <f>(Table4[[#This Row],[SALE PRICE]]-Table4[[#This Row],[COST PRICE]])/Table4[[#This Row],[SALE PRICE]]</f>
        <v>#DIV/0!</v>
      </c>
      <c r="J1121" s="13" t="e">
        <f>IF(Table4[[#This Row],[MARGIN]]&lt;25%, "REVIEW", "OK")</f>
        <v>#DIV/0!</v>
      </c>
    </row>
    <row r="1122" spans="1:10" ht="15.6" x14ac:dyDescent="0.3">
      <c r="A1122" s="24" t="s">
        <v>2227</v>
      </c>
      <c r="B1122" s="24"/>
      <c r="C1122" s="24"/>
      <c r="D1122" s="25"/>
      <c r="E1122" s="25"/>
      <c r="F1122" s="24"/>
      <c r="G1122" s="49"/>
      <c r="H1122" s="52">
        <f t="shared" si="3"/>
        <v>0</v>
      </c>
      <c r="I1122" s="45" t="e">
        <f>(Table4[[#This Row],[SALE PRICE]]-Table4[[#This Row],[COST PRICE]])/Table4[[#This Row],[SALE PRICE]]</f>
        <v>#DIV/0!</v>
      </c>
      <c r="J1122" s="24" t="e">
        <f>IF(Table4[[#This Row],[MARGIN]]&lt;25%, "REVIEW", "OK")</f>
        <v>#DIV/0!</v>
      </c>
    </row>
    <row r="1123" spans="1:10" ht="15.6" x14ac:dyDescent="0.3">
      <c r="A1123" s="13" t="s">
        <v>2228</v>
      </c>
      <c r="B1123" s="13"/>
      <c r="C1123" s="13"/>
      <c r="D1123" s="11"/>
      <c r="E1123" s="11"/>
      <c r="F1123" s="13"/>
      <c r="G1123" s="47"/>
      <c r="H1123" s="51">
        <f t="shared" si="3"/>
        <v>0</v>
      </c>
      <c r="I1123" s="44" t="e">
        <f>(Table4[[#This Row],[SALE PRICE]]-Table4[[#This Row],[COST PRICE]])/Table4[[#This Row],[SALE PRICE]]</f>
        <v>#DIV/0!</v>
      </c>
      <c r="J1123" s="13" t="e">
        <f>IF(Table4[[#This Row],[MARGIN]]&lt;25%, "REVIEW", "OK")</f>
        <v>#DIV/0!</v>
      </c>
    </row>
    <row r="1124" spans="1:10" ht="15.6" x14ac:dyDescent="0.3">
      <c r="A1124" s="24" t="s">
        <v>2229</v>
      </c>
      <c r="B1124" s="24"/>
      <c r="C1124" s="24"/>
      <c r="D1124" s="25"/>
      <c r="E1124" s="25"/>
      <c r="F1124" s="24"/>
      <c r="G1124" s="49"/>
      <c r="H1124" s="52">
        <f t="shared" si="3"/>
        <v>0</v>
      </c>
      <c r="I1124" s="45" t="e">
        <f>(Table4[[#This Row],[SALE PRICE]]-Table4[[#This Row],[COST PRICE]])/Table4[[#This Row],[SALE PRICE]]</f>
        <v>#DIV/0!</v>
      </c>
      <c r="J1124" s="24" t="e">
        <f>IF(Table4[[#This Row],[MARGIN]]&lt;25%, "REVIEW", "OK")</f>
        <v>#DIV/0!</v>
      </c>
    </row>
    <row r="1125" spans="1:10" ht="15.6" x14ac:dyDescent="0.3">
      <c r="A1125" s="13" t="s">
        <v>2230</v>
      </c>
      <c r="B1125" s="13"/>
      <c r="C1125" s="13"/>
      <c r="D1125" s="11"/>
      <c r="E1125" s="11"/>
      <c r="F1125" s="13"/>
      <c r="G1125" s="47">
        <v>101.83</v>
      </c>
      <c r="H1125" s="51">
        <f t="shared" si="3"/>
        <v>142.56199999999998</v>
      </c>
      <c r="I1125" s="44">
        <f>(Table4[[#This Row],[SALE PRICE]]-Table4[[#This Row],[COST PRICE]])/Table4[[#This Row],[SALE PRICE]]</f>
        <v>0.28571428571428564</v>
      </c>
      <c r="J1125" s="13" t="str">
        <f>IF(Table4[[#This Row],[MARGIN]]&lt;25%, "REVIEW", "OK")</f>
        <v>OK</v>
      </c>
    </row>
    <row r="1126" spans="1:10" ht="15.6" x14ac:dyDescent="0.3">
      <c r="A1126" s="24" t="s">
        <v>2231</v>
      </c>
      <c r="B1126" s="24"/>
      <c r="C1126" s="24"/>
      <c r="D1126" s="25"/>
      <c r="E1126" s="25"/>
      <c r="F1126" s="24"/>
      <c r="G1126" s="49">
        <v>34.99</v>
      </c>
      <c r="H1126" s="52">
        <f t="shared" si="3"/>
        <v>48.985999999999997</v>
      </c>
      <c r="I1126" s="45">
        <f>(Table4[[#This Row],[SALE PRICE]]-Table4[[#This Row],[COST PRICE]])/Table4[[#This Row],[SALE PRICE]]</f>
        <v>0.28571428571428564</v>
      </c>
      <c r="J1126" s="24" t="str">
        <f>IF(Table4[[#This Row],[MARGIN]]&lt;25%, "REVIEW", "OK")</f>
        <v>OK</v>
      </c>
    </row>
    <row r="1127" spans="1:10" ht="15.6" x14ac:dyDescent="0.3">
      <c r="A1127" s="13" t="s">
        <v>2232</v>
      </c>
      <c r="B1127" s="13"/>
      <c r="C1127" s="13"/>
      <c r="D1127" s="11"/>
      <c r="E1127" s="11"/>
      <c r="F1127" s="13"/>
      <c r="G1127" s="47"/>
      <c r="H1127" s="51">
        <f t="shared" si="3"/>
        <v>0</v>
      </c>
      <c r="I1127" s="44" t="e">
        <f>(Table4[[#This Row],[SALE PRICE]]-Table4[[#This Row],[COST PRICE]])/Table4[[#This Row],[SALE PRICE]]</f>
        <v>#DIV/0!</v>
      </c>
      <c r="J1127" s="13" t="e">
        <f>IF(Table4[[#This Row],[MARGIN]]&lt;25%, "REVIEW", "OK")</f>
        <v>#DIV/0!</v>
      </c>
    </row>
    <row r="1128" spans="1:10" ht="15.6" x14ac:dyDescent="0.3">
      <c r="A1128" s="24" t="s">
        <v>2233</v>
      </c>
      <c r="B1128" s="24"/>
      <c r="C1128" s="24"/>
      <c r="D1128" s="25"/>
      <c r="E1128" s="25"/>
      <c r="F1128" s="24"/>
      <c r="G1128" s="49"/>
      <c r="H1128" s="52">
        <f t="shared" si="3"/>
        <v>0</v>
      </c>
      <c r="I1128" s="45" t="e">
        <f>(Table4[[#This Row],[SALE PRICE]]-Table4[[#This Row],[COST PRICE]])/Table4[[#This Row],[SALE PRICE]]</f>
        <v>#DIV/0!</v>
      </c>
      <c r="J1128" s="24" t="e">
        <f>IF(Table4[[#This Row],[MARGIN]]&lt;25%, "REVIEW", "OK")</f>
        <v>#DIV/0!</v>
      </c>
    </row>
    <row r="1129" spans="1:10" ht="15.6" x14ac:dyDescent="0.3">
      <c r="A1129" s="13" t="s">
        <v>2234</v>
      </c>
      <c r="B1129" s="13"/>
      <c r="C1129" s="13"/>
      <c r="D1129" s="11"/>
      <c r="E1129" s="11"/>
      <c r="F1129" s="13"/>
      <c r="G1129" s="47"/>
      <c r="H1129" s="51">
        <f t="shared" si="3"/>
        <v>0</v>
      </c>
      <c r="I1129" s="44" t="e">
        <f>(Table4[[#This Row],[SALE PRICE]]-Table4[[#This Row],[COST PRICE]])/Table4[[#This Row],[SALE PRICE]]</f>
        <v>#DIV/0!</v>
      </c>
      <c r="J1129" s="13" t="e">
        <f>IF(Table4[[#This Row],[MARGIN]]&lt;25%, "REVIEW", "OK")</f>
        <v>#DIV/0!</v>
      </c>
    </row>
    <row r="1130" spans="1:10" ht="15.6" x14ac:dyDescent="0.3">
      <c r="A1130" s="24" t="s">
        <v>2235</v>
      </c>
      <c r="B1130" s="24"/>
      <c r="C1130" s="24"/>
      <c r="D1130" s="25"/>
      <c r="E1130" s="25"/>
      <c r="F1130" s="24"/>
      <c r="G1130" s="49"/>
      <c r="H1130" s="52">
        <f t="shared" si="3"/>
        <v>0</v>
      </c>
      <c r="I1130" s="45" t="e">
        <f>(Table4[[#This Row],[SALE PRICE]]-Table4[[#This Row],[COST PRICE]])/Table4[[#This Row],[SALE PRICE]]</f>
        <v>#DIV/0!</v>
      </c>
      <c r="J1130" s="24" t="e">
        <f>IF(Table4[[#This Row],[MARGIN]]&lt;25%, "REVIEW", "OK")</f>
        <v>#DIV/0!</v>
      </c>
    </row>
    <row r="1131" spans="1:10" ht="15.6" x14ac:dyDescent="0.3">
      <c r="A1131" s="13" t="s">
        <v>2236</v>
      </c>
      <c r="B1131" s="13"/>
      <c r="C1131" s="13"/>
      <c r="D1131" s="11"/>
      <c r="E1131" s="11"/>
      <c r="F1131" s="13"/>
      <c r="G1131" s="47"/>
      <c r="H1131" s="51">
        <f t="shared" si="3"/>
        <v>0</v>
      </c>
      <c r="I1131" s="44" t="e">
        <f>(Table4[[#This Row],[SALE PRICE]]-Table4[[#This Row],[COST PRICE]])/Table4[[#This Row],[SALE PRICE]]</f>
        <v>#DIV/0!</v>
      </c>
      <c r="J1131" s="13" t="e">
        <f>IF(Table4[[#This Row],[MARGIN]]&lt;25%, "REVIEW", "OK")</f>
        <v>#DIV/0!</v>
      </c>
    </row>
    <row r="1132" spans="1:10" ht="15.6" x14ac:dyDescent="0.3">
      <c r="A1132" s="24" t="s">
        <v>2237</v>
      </c>
      <c r="B1132" s="24"/>
      <c r="C1132" s="24"/>
      <c r="D1132" s="25"/>
      <c r="E1132" s="25"/>
      <c r="F1132" s="24"/>
      <c r="G1132" s="49"/>
      <c r="H1132" s="52">
        <f t="shared" si="3"/>
        <v>0</v>
      </c>
      <c r="I1132" s="45" t="e">
        <f>(Table4[[#This Row],[SALE PRICE]]-Table4[[#This Row],[COST PRICE]])/Table4[[#This Row],[SALE PRICE]]</f>
        <v>#DIV/0!</v>
      </c>
      <c r="J1132" s="24" t="e">
        <f>IF(Table4[[#This Row],[MARGIN]]&lt;25%, "REVIEW", "OK")</f>
        <v>#DIV/0!</v>
      </c>
    </row>
    <row r="1133" spans="1:10" ht="15.6" x14ac:dyDescent="0.3">
      <c r="A1133" s="13" t="s">
        <v>2238</v>
      </c>
      <c r="B1133" s="13"/>
      <c r="C1133" s="13"/>
      <c r="D1133" s="11"/>
      <c r="E1133" s="11"/>
      <c r="F1133" s="13"/>
      <c r="G1133" s="47"/>
      <c r="H1133" s="51">
        <f t="shared" si="3"/>
        <v>0</v>
      </c>
      <c r="I1133" s="44" t="e">
        <f>(Table4[[#This Row],[SALE PRICE]]-Table4[[#This Row],[COST PRICE]])/Table4[[#This Row],[SALE PRICE]]</f>
        <v>#DIV/0!</v>
      </c>
      <c r="J1133" s="13" t="e">
        <f>IF(Table4[[#This Row],[MARGIN]]&lt;25%, "REVIEW", "OK")</f>
        <v>#DIV/0!</v>
      </c>
    </row>
    <row r="1134" spans="1:10" ht="15.6" x14ac:dyDescent="0.3">
      <c r="A1134" s="24" t="s">
        <v>2239</v>
      </c>
      <c r="B1134" s="24"/>
      <c r="C1134" s="24"/>
      <c r="D1134" s="25"/>
      <c r="E1134" s="25"/>
      <c r="F1134" s="24"/>
      <c r="G1134" s="49"/>
      <c r="H1134" s="52">
        <f t="shared" si="3"/>
        <v>0</v>
      </c>
      <c r="I1134" s="45" t="e">
        <f>(Table4[[#This Row],[SALE PRICE]]-Table4[[#This Row],[COST PRICE]])/Table4[[#This Row],[SALE PRICE]]</f>
        <v>#DIV/0!</v>
      </c>
      <c r="J1134" s="24" t="e">
        <f>IF(Table4[[#This Row],[MARGIN]]&lt;25%, "REVIEW", "OK")</f>
        <v>#DIV/0!</v>
      </c>
    </row>
    <row r="1135" spans="1:10" ht="15.6" x14ac:dyDescent="0.3">
      <c r="A1135" s="13" t="s">
        <v>2240</v>
      </c>
      <c r="B1135" s="13"/>
      <c r="C1135" s="13"/>
      <c r="D1135" s="11"/>
      <c r="E1135" s="11"/>
      <c r="F1135" s="13"/>
      <c r="G1135" s="47"/>
      <c r="H1135" s="51">
        <f t="shared" si="3"/>
        <v>0</v>
      </c>
      <c r="I1135" s="44" t="e">
        <f>(Table4[[#This Row],[SALE PRICE]]-Table4[[#This Row],[COST PRICE]])/Table4[[#This Row],[SALE PRICE]]</f>
        <v>#DIV/0!</v>
      </c>
      <c r="J1135" s="13" t="e">
        <f>IF(Table4[[#This Row],[MARGIN]]&lt;25%, "REVIEW", "OK")</f>
        <v>#DIV/0!</v>
      </c>
    </row>
    <row r="1136" spans="1:10" ht="15.6" x14ac:dyDescent="0.3">
      <c r="A1136" s="24" t="s">
        <v>2241</v>
      </c>
      <c r="B1136" s="24"/>
      <c r="C1136" s="24"/>
      <c r="D1136" s="25"/>
      <c r="E1136" s="25"/>
      <c r="F1136" s="24"/>
      <c r="G1136" s="49"/>
      <c r="H1136" s="52">
        <f t="shared" si="3"/>
        <v>0</v>
      </c>
      <c r="I1136" s="45" t="e">
        <f>(Table4[[#This Row],[SALE PRICE]]-Table4[[#This Row],[COST PRICE]])/Table4[[#This Row],[SALE PRICE]]</f>
        <v>#DIV/0!</v>
      </c>
      <c r="J1136" s="24" t="e">
        <f>IF(Table4[[#This Row],[MARGIN]]&lt;25%, "REVIEW", "OK")</f>
        <v>#DIV/0!</v>
      </c>
    </row>
    <row r="1137" spans="1:10" ht="15.6" x14ac:dyDescent="0.3">
      <c r="A1137" s="13" t="s">
        <v>2242</v>
      </c>
      <c r="B1137" s="13"/>
      <c r="C1137" s="13"/>
      <c r="D1137" s="11"/>
      <c r="E1137" s="11"/>
      <c r="F1137" s="13"/>
      <c r="G1137" s="47"/>
      <c r="H1137" s="51">
        <f t="shared" si="3"/>
        <v>0</v>
      </c>
      <c r="I1137" s="44" t="e">
        <f>(Table4[[#This Row],[SALE PRICE]]-Table4[[#This Row],[COST PRICE]])/Table4[[#This Row],[SALE PRICE]]</f>
        <v>#DIV/0!</v>
      </c>
      <c r="J1137" s="13" t="e">
        <f>IF(Table4[[#This Row],[MARGIN]]&lt;25%, "REVIEW", "OK")</f>
        <v>#DIV/0!</v>
      </c>
    </row>
    <row r="1138" spans="1:10" ht="15.6" x14ac:dyDescent="0.3">
      <c r="A1138" s="24" t="s">
        <v>2243</v>
      </c>
      <c r="B1138" s="24"/>
      <c r="C1138" s="24"/>
      <c r="D1138" s="25"/>
      <c r="E1138" s="25"/>
      <c r="F1138" s="24"/>
      <c r="G1138" s="49"/>
      <c r="H1138" s="52">
        <f t="shared" si="3"/>
        <v>0</v>
      </c>
      <c r="I1138" s="45" t="e">
        <f>(Table4[[#This Row],[SALE PRICE]]-Table4[[#This Row],[COST PRICE]])/Table4[[#This Row],[SALE PRICE]]</f>
        <v>#DIV/0!</v>
      </c>
      <c r="J1138" s="24" t="e">
        <f>IF(Table4[[#This Row],[MARGIN]]&lt;25%, "REVIEW", "OK")</f>
        <v>#DIV/0!</v>
      </c>
    </row>
  </sheetData>
  <phoneticPr fontId="4" type="noConversion"/>
  <pageMargins left="0.7" right="0.7" top="0.75" bottom="0.75" header="0.3" footer="0.3"/>
  <pageSetup orientation="portrait" useFirstPageNumber="1" horizontalDpi="4294967295" verticalDpi="429496729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8"/>
  <sheetViews>
    <sheetView zoomScaleNormal="100" workbookViewId="0">
      <pane ySplit="1" topLeftCell="A2" activePane="bottomLeft" state="frozen"/>
      <selection pane="bottomLeft" activeCell="D23" sqref="D23"/>
    </sheetView>
  </sheetViews>
  <sheetFormatPr defaultRowHeight="14.4" x14ac:dyDescent="0.3"/>
  <cols>
    <col min="1" max="1" width="16.109375" bestFit="1" customWidth="1"/>
    <col min="2" max="2" width="43" bestFit="1" customWidth="1"/>
    <col min="3" max="3" width="10.44140625" bestFit="1" customWidth="1"/>
    <col min="4" max="4" width="14.77734375" bestFit="1" customWidth="1"/>
    <col min="5" max="5" width="23.21875" bestFit="1" customWidth="1"/>
    <col min="6" max="6" width="14.88671875" bestFit="1" customWidth="1"/>
    <col min="7" max="7" width="16.5546875" bestFit="1" customWidth="1"/>
    <col min="8" max="8" width="16.21875" bestFit="1" customWidth="1"/>
    <col min="9" max="9" width="13.77734375" bestFit="1" customWidth="1"/>
    <col min="10" max="10" width="12.88671875" bestFit="1" customWidth="1"/>
  </cols>
  <sheetData>
    <row r="1" spans="1:10" s="1" customFormat="1" ht="15.6" x14ac:dyDescent="0.3">
      <c r="A1" s="8" t="s">
        <v>0</v>
      </c>
      <c r="B1" s="8" t="s">
        <v>1</v>
      </c>
      <c r="C1" s="15" t="s">
        <v>1849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9" t="s">
        <v>1892</v>
      </c>
      <c r="J1" s="39" t="s">
        <v>1893</v>
      </c>
    </row>
    <row r="2" spans="1:10" ht="15" x14ac:dyDescent="0.3">
      <c r="A2" s="58" t="s">
        <v>1087</v>
      </c>
      <c r="B2" s="14" t="s">
        <v>1848</v>
      </c>
      <c r="C2" s="14" t="s">
        <v>1427</v>
      </c>
      <c r="D2" s="6"/>
      <c r="E2" s="7"/>
      <c r="F2" s="6"/>
      <c r="G2" s="33">
        <v>23.39</v>
      </c>
      <c r="H2" s="33">
        <f t="shared" ref="H2:H48" si="0">IF(G2&lt;=5,G2*1.6,
IF(G2&lt;=10,G2*1.55,
IF(G2&lt;=25,G2*1.45,
IF(G2&lt;=50,G2*1.4,
IF(G2&lt;=100,G2*1.35,
G2*1.333)))))</f>
        <v>33.915500000000002</v>
      </c>
      <c r="I2" s="40">
        <f>(Table2[[#This Row],[SALE PRICE]]-Table2[[#This Row],[COST PRICE]])/Table2[[#This Row],[SALE PRICE]]</f>
        <v>0.31034482758620691</v>
      </c>
      <c r="J2" s="36" t="str">
        <f>IF(Table2[[#This Row],[MARGIN]]&gt;25, "REVIEW", "OK")</f>
        <v>OK</v>
      </c>
    </row>
    <row r="3" spans="1:10" ht="15" x14ac:dyDescent="0.3">
      <c r="A3" s="4" t="s">
        <v>1088</v>
      </c>
      <c r="B3" s="3" t="s">
        <v>1850</v>
      </c>
      <c r="C3" s="3" t="s">
        <v>1426</v>
      </c>
      <c r="D3" s="4"/>
      <c r="E3" s="5"/>
      <c r="F3" s="4"/>
      <c r="G3" s="34">
        <v>15.47</v>
      </c>
      <c r="H3" s="34">
        <f t="shared" si="0"/>
        <v>22.4315</v>
      </c>
      <c r="I3" s="41">
        <f>(Table2[[#This Row],[SALE PRICE]]-Table2[[#This Row],[COST PRICE]])/Table2[[#This Row],[SALE PRICE]]</f>
        <v>0.31034482758620685</v>
      </c>
      <c r="J3" s="37" t="str">
        <f>IF(Table2[[#This Row],[MARGIN]]&gt;25, "REVIEW", "OK")</f>
        <v>OK</v>
      </c>
    </row>
    <row r="4" spans="1:10" ht="15" x14ac:dyDescent="0.3">
      <c r="A4" s="6" t="s">
        <v>1089</v>
      </c>
      <c r="B4" s="14" t="s">
        <v>1851</v>
      </c>
      <c r="C4" s="14" t="s">
        <v>1426</v>
      </c>
      <c r="D4" s="6"/>
      <c r="E4" s="7"/>
      <c r="F4" s="6"/>
      <c r="G4" s="33">
        <v>16.79</v>
      </c>
      <c r="H4" s="33">
        <f t="shared" si="0"/>
        <v>24.345499999999998</v>
      </c>
      <c r="I4" s="40">
        <f>(Table2[[#This Row],[SALE PRICE]]-Table2[[#This Row],[COST PRICE]])/Table2[[#This Row],[SALE PRICE]]</f>
        <v>0.31034482758620685</v>
      </c>
      <c r="J4" s="36" t="str">
        <f>IF(Table2[[#This Row],[MARGIN]]&gt;25, "REVIEW", "OK")</f>
        <v>OK</v>
      </c>
    </row>
    <row r="5" spans="1:10" ht="15" x14ac:dyDescent="0.3">
      <c r="A5" s="4" t="s">
        <v>1090</v>
      </c>
      <c r="B5" s="3" t="s">
        <v>1852</v>
      </c>
      <c r="C5" s="3" t="s">
        <v>1426</v>
      </c>
      <c r="D5" s="4"/>
      <c r="E5" s="5"/>
      <c r="F5" s="4"/>
      <c r="G5" s="34">
        <v>16.190000000000001</v>
      </c>
      <c r="H5" s="34">
        <f t="shared" si="0"/>
        <v>23.4755</v>
      </c>
      <c r="I5" s="41">
        <f>(Table2[[#This Row],[SALE PRICE]]-Table2[[#This Row],[COST PRICE]])/Table2[[#This Row],[SALE PRICE]]</f>
        <v>0.31034482758620685</v>
      </c>
      <c r="J5" s="37" t="str">
        <f>IF(Table2[[#This Row],[MARGIN]]&gt;25, "REVIEW", "OK")</f>
        <v>OK</v>
      </c>
    </row>
    <row r="6" spans="1:10" ht="15" x14ac:dyDescent="0.3">
      <c r="A6" s="6" t="s">
        <v>1091</v>
      </c>
      <c r="B6" s="14" t="s">
        <v>1092</v>
      </c>
      <c r="C6" s="14" t="s">
        <v>1434</v>
      </c>
      <c r="D6" s="6"/>
      <c r="E6" s="7"/>
      <c r="F6" s="6"/>
      <c r="G6" s="33">
        <v>16.190000000000001</v>
      </c>
      <c r="H6" s="33">
        <f t="shared" si="0"/>
        <v>23.4755</v>
      </c>
      <c r="I6" s="40">
        <f>(Table2[[#This Row],[SALE PRICE]]-Table2[[#This Row],[COST PRICE]])/Table2[[#This Row],[SALE PRICE]]</f>
        <v>0.31034482758620685</v>
      </c>
      <c r="J6" s="36" t="str">
        <f>IF(Table2[[#This Row],[MARGIN]]&gt;25, "REVIEW", "OK")</f>
        <v>OK</v>
      </c>
    </row>
    <row r="7" spans="1:10" ht="15" x14ac:dyDescent="0.3">
      <c r="A7" s="4" t="s">
        <v>1093</v>
      </c>
      <c r="B7" s="3" t="s">
        <v>1853</v>
      </c>
      <c r="C7" s="3" t="s">
        <v>1429</v>
      </c>
      <c r="D7" s="4"/>
      <c r="E7" s="5"/>
      <c r="F7" s="4"/>
      <c r="G7" s="34">
        <v>14.39</v>
      </c>
      <c r="H7" s="34">
        <f t="shared" si="0"/>
        <v>20.865500000000001</v>
      </c>
      <c r="I7" s="41">
        <f>(Table2[[#This Row],[SALE PRICE]]-Table2[[#This Row],[COST PRICE]])/Table2[[#This Row],[SALE PRICE]]</f>
        <v>0.31034482758620691</v>
      </c>
      <c r="J7" s="37" t="str">
        <f>IF(Table2[[#This Row],[MARGIN]]&gt;25, "REVIEW", "OK")</f>
        <v>OK</v>
      </c>
    </row>
    <row r="8" spans="1:10" ht="15" x14ac:dyDescent="0.3">
      <c r="A8" s="6" t="s">
        <v>1094</v>
      </c>
      <c r="B8" s="14" t="s">
        <v>1095</v>
      </c>
      <c r="C8" s="14" t="s">
        <v>1434</v>
      </c>
      <c r="D8" s="6"/>
      <c r="E8" s="7"/>
      <c r="F8" s="6"/>
      <c r="G8" s="33">
        <v>8.4600000000000009</v>
      </c>
      <c r="H8" s="33">
        <f t="shared" si="0"/>
        <v>13.113000000000001</v>
      </c>
      <c r="I8" s="40">
        <f>(Table2[[#This Row],[SALE PRICE]]-Table2[[#This Row],[COST PRICE]])/Table2[[#This Row],[SALE PRICE]]</f>
        <v>0.35483870967741937</v>
      </c>
      <c r="J8" s="36" t="str">
        <f>IF(Table2[[#This Row],[MARGIN]]&gt;25, "REVIEW", "OK")</f>
        <v>OK</v>
      </c>
    </row>
    <row r="9" spans="1:10" ht="15" x14ac:dyDescent="0.3">
      <c r="A9" s="4" t="s">
        <v>1096</v>
      </c>
      <c r="B9" s="3" t="s">
        <v>1855</v>
      </c>
      <c r="C9" s="3" t="s">
        <v>1430</v>
      </c>
      <c r="D9" s="4"/>
      <c r="E9" s="5"/>
      <c r="F9" s="4"/>
      <c r="G9" s="34">
        <v>4.1900000000000004</v>
      </c>
      <c r="H9" s="34">
        <f t="shared" si="0"/>
        <v>6.7040000000000006</v>
      </c>
      <c r="I9" s="41">
        <f>(Table2[[#This Row],[SALE PRICE]]-Table2[[#This Row],[COST PRICE]])/Table2[[#This Row],[SALE PRICE]]</f>
        <v>0.375</v>
      </c>
      <c r="J9" s="37" t="str">
        <f>IF(Table2[[#This Row],[MARGIN]]&gt;25, "REVIEW", "OK")</f>
        <v>OK</v>
      </c>
    </row>
    <row r="10" spans="1:10" ht="15" x14ac:dyDescent="0.3">
      <c r="A10" s="6" t="s">
        <v>1097</v>
      </c>
      <c r="B10" s="14" t="s">
        <v>1854</v>
      </c>
      <c r="C10" s="14" t="s">
        <v>1440</v>
      </c>
      <c r="D10" s="6"/>
      <c r="E10" s="7"/>
      <c r="F10" s="6"/>
      <c r="G10" s="33">
        <v>1.5</v>
      </c>
      <c r="H10" s="33">
        <f t="shared" si="0"/>
        <v>2.4000000000000004</v>
      </c>
      <c r="I10" s="40">
        <f>(Table2[[#This Row],[SALE PRICE]]-Table2[[#This Row],[COST PRICE]])/Table2[[#This Row],[SALE PRICE]]</f>
        <v>0.37500000000000011</v>
      </c>
      <c r="J10" s="36" t="str">
        <f>IF(Table2[[#This Row],[MARGIN]]&gt;25, "REVIEW", "OK")</f>
        <v>OK</v>
      </c>
    </row>
    <row r="11" spans="1:10" ht="15" x14ac:dyDescent="0.3">
      <c r="A11" s="4" t="s">
        <v>1098</v>
      </c>
      <c r="B11" s="3" t="s">
        <v>1099</v>
      </c>
      <c r="C11" s="3" t="s">
        <v>1426</v>
      </c>
      <c r="D11" s="4"/>
      <c r="E11" s="5"/>
      <c r="F11" s="4"/>
      <c r="G11" s="34">
        <v>8.39</v>
      </c>
      <c r="H11" s="34">
        <f t="shared" si="0"/>
        <v>13.004500000000002</v>
      </c>
      <c r="I11" s="41">
        <f>(Table2[[#This Row],[SALE PRICE]]-Table2[[#This Row],[COST PRICE]])/Table2[[#This Row],[SALE PRICE]]</f>
        <v>0.35483870967741943</v>
      </c>
      <c r="J11" s="37" t="str">
        <f>IF(Table2[[#This Row],[MARGIN]]&gt;25, "REVIEW", "OK")</f>
        <v>OK</v>
      </c>
    </row>
    <row r="12" spans="1:10" ht="15" x14ac:dyDescent="0.3">
      <c r="A12" s="6" t="s">
        <v>1100</v>
      </c>
      <c r="B12" s="14" t="s">
        <v>1856</v>
      </c>
      <c r="C12" s="14" t="s">
        <v>1430</v>
      </c>
      <c r="D12" s="6"/>
      <c r="E12" s="7"/>
      <c r="F12" s="6"/>
      <c r="G12" s="33">
        <v>2.87</v>
      </c>
      <c r="H12" s="33">
        <f t="shared" si="0"/>
        <v>4.5920000000000005</v>
      </c>
      <c r="I12" s="40">
        <f>(Table2[[#This Row],[SALE PRICE]]-Table2[[#This Row],[COST PRICE]])/Table2[[#This Row],[SALE PRICE]]</f>
        <v>0.37500000000000006</v>
      </c>
      <c r="J12" s="36" t="str">
        <f>IF(Table2[[#This Row],[MARGIN]]&gt;25, "REVIEW", "OK")</f>
        <v>OK</v>
      </c>
    </row>
    <row r="13" spans="1:10" ht="15" x14ac:dyDescent="0.3">
      <c r="A13" s="4" t="s">
        <v>1101</v>
      </c>
      <c r="B13" s="3" t="s">
        <v>1857</v>
      </c>
      <c r="C13" s="3" t="s">
        <v>1430</v>
      </c>
      <c r="D13" s="4"/>
      <c r="E13" s="5"/>
      <c r="F13" s="4"/>
      <c r="G13" s="34">
        <v>6.59</v>
      </c>
      <c r="H13" s="34">
        <f t="shared" si="0"/>
        <v>10.214499999999999</v>
      </c>
      <c r="I13" s="41">
        <f>(Table2[[#This Row],[SALE PRICE]]-Table2[[#This Row],[COST PRICE]])/Table2[[#This Row],[SALE PRICE]]</f>
        <v>0.35483870967741932</v>
      </c>
      <c r="J13" s="37" t="str">
        <f>IF(Table2[[#This Row],[MARGIN]]&gt;25, "REVIEW", "OK")</f>
        <v>OK</v>
      </c>
    </row>
    <row r="14" spans="1:10" ht="15" x14ac:dyDescent="0.3">
      <c r="A14" s="6" t="s">
        <v>1102</v>
      </c>
      <c r="B14" s="14" t="s">
        <v>1858</v>
      </c>
      <c r="C14" s="14" t="s">
        <v>1430</v>
      </c>
      <c r="D14" s="6"/>
      <c r="E14" s="7"/>
      <c r="F14" s="6"/>
      <c r="G14" s="33">
        <v>4.79</v>
      </c>
      <c r="H14" s="33">
        <f t="shared" si="0"/>
        <v>7.6640000000000006</v>
      </c>
      <c r="I14" s="40">
        <f>(Table2[[#This Row],[SALE PRICE]]-Table2[[#This Row],[COST PRICE]])/Table2[[#This Row],[SALE PRICE]]</f>
        <v>0.37500000000000006</v>
      </c>
      <c r="J14" s="36" t="str">
        <f>IF(Table2[[#This Row],[MARGIN]]&gt;25, "REVIEW", "OK")</f>
        <v>OK</v>
      </c>
    </row>
    <row r="15" spans="1:10" ht="15" x14ac:dyDescent="0.3">
      <c r="A15" s="4" t="s">
        <v>1103</v>
      </c>
      <c r="B15" s="3" t="s">
        <v>1104</v>
      </c>
      <c r="C15" s="3" t="s">
        <v>1434</v>
      </c>
      <c r="D15" s="4"/>
      <c r="E15" s="5"/>
      <c r="F15" s="4"/>
      <c r="G15" s="34">
        <v>7.55</v>
      </c>
      <c r="H15" s="34">
        <f t="shared" si="0"/>
        <v>11.702500000000001</v>
      </c>
      <c r="I15" s="41">
        <f>(Table2[[#This Row],[SALE PRICE]]-Table2[[#This Row],[COST PRICE]])/Table2[[#This Row],[SALE PRICE]]</f>
        <v>0.35483870967741943</v>
      </c>
      <c r="J15" s="37" t="str">
        <f>IF(Table2[[#This Row],[MARGIN]]&gt;25, "REVIEW", "OK")</f>
        <v>OK</v>
      </c>
    </row>
    <row r="16" spans="1:10" ht="15" x14ac:dyDescent="0.3">
      <c r="A16" s="6" t="s">
        <v>1105</v>
      </c>
      <c r="B16" s="14" t="s">
        <v>1106</v>
      </c>
      <c r="C16" s="14" t="s">
        <v>1426</v>
      </c>
      <c r="D16" s="6"/>
      <c r="E16" s="7"/>
      <c r="F16" s="6"/>
      <c r="G16" s="33">
        <v>10.79</v>
      </c>
      <c r="H16" s="33">
        <f t="shared" si="0"/>
        <v>15.645499999999998</v>
      </c>
      <c r="I16" s="40">
        <f>(Table2[[#This Row],[SALE PRICE]]-Table2[[#This Row],[COST PRICE]])/Table2[[#This Row],[SALE PRICE]]</f>
        <v>0.31034482758620691</v>
      </c>
      <c r="J16" s="36" t="str">
        <f>IF(Table2[[#This Row],[MARGIN]]&gt;25, "REVIEW", "OK")</f>
        <v>OK</v>
      </c>
    </row>
    <row r="17" spans="1:10" ht="15" x14ac:dyDescent="0.3">
      <c r="A17" s="4" t="s">
        <v>1107</v>
      </c>
      <c r="B17" s="3" t="s">
        <v>1859</v>
      </c>
      <c r="C17" s="3" t="s">
        <v>1426</v>
      </c>
      <c r="D17" s="4"/>
      <c r="E17" s="5"/>
      <c r="F17" s="4"/>
      <c r="G17" s="34">
        <v>9.59</v>
      </c>
      <c r="H17" s="34">
        <f t="shared" si="0"/>
        <v>14.8645</v>
      </c>
      <c r="I17" s="41">
        <f>(Table2[[#This Row],[SALE PRICE]]-Table2[[#This Row],[COST PRICE]])/Table2[[#This Row],[SALE PRICE]]</f>
        <v>0.35483870967741937</v>
      </c>
      <c r="J17" s="37" t="str">
        <f>IF(Table2[[#This Row],[MARGIN]]&gt;25, "REVIEW", "OK")</f>
        <v>OK</v>
      </c>
    </row>
    <row r="18" spans="1:10" ht="15" x14ac:dyDescent="0.3">
      <c r="A18" s="6" t="s">
        <v>1108</v>
      </c>
      <c r="B18" s="14" t="s">
        <v>1109</v>
      </c>
      <c r="C18" s="14" t="s">
        <v>1426</v>
      </c>
      <c r="D18" s="6"/>
      <c r="E18" s="7"/>
      <c r="F18" s="6"/>
      <c r="G18" s="33">
        <v>15.59</v>
      </c>
      <c r="H18" s="33">
        <f t="shared" si="0"/>
        <v>22.605499999999999</v>
      </c>
      <c r="I18" s="40">
        <f>(Table2[[#This Row],[SALE PRICE]]-Table2[[#This Row],[COST PRICE]])/Table2[[#This Row],[SALE PRICE]]</f>
        <v>0.31034482758620691</v>
      </c>
      <c r="J18" s="36" t="str">
        <f>IF(Table2[[#This Row],[MARGIN]]&gt;25, "REVIEW", "OK")</f>
        <v>OK</v>
      </c>
    </row>
    <row r="19" spans="1:10" ht="15" x14ac:dyDescent="0.3">
      <c r="A19" s="4" t="s">
        <v>1110</v>
      </c>
      <c r="B19" s="3" t="s">
        <v>1860</v>
      </c>
      <c r="C19" s="3" t="s">
        <v>1426</v>
      </c>
      <c r="D19" s="4"/>
      <c r="E19" s="5"/>
      <c r="F19" s="4"/>
      <c r="G19" s="34">
        <v>20.99</v>
      </c>
      <c r="H19" s="34">
        <f t="shared" si="0"/>
        <v>30.435499999999998</v>
      </c>
      <c r="I19" s="41">
        <f>(Table2[[#This Row],[SALE PRICE]]-Table2[[#This Row],[COST PRICE]])/Table2[[#This Row],[SALE PRICE]]</f>
        <v>0.31034482758620691</v>
      </c>
      <c r="J19" s="37" t="str">
        <f>IF(Table2[[#This Row],[MARGIN]]&gt;25, "REVIEW", "OK")</f>
        <v>OK</v>
      </c>
    </row>
    <row r="20" spans="1:10" ht="15" x14ac:dyDescent="0.3">
      <c r="A20" s="6" t="s">
        <v>1111</v>
      </c>
      <c r="B20" s="14" t="s">
        <v>1112</v>
      </c>
      <c r="C20" s="14" t="s">
        <v>1434</v>
      </c>
      <c r="D20" s="6"/>
      <c r="E20" s="7"/>
      <c r="F20" s="6"/>
      <c r="G20" s="33">
        <v>32.39</v>
      </c>
      <c r="H20" s="33">
        <f t="shared" si="0"/>
        <v>45.345999999999997</v>
      </c>
      <c r="I20" s="40">
        <f>(Table2[[#This Row],[SALE PRICE]]-Table2[[#This Row],[COST PRICE]])/Table2[[#This Row],[SALE PRICE]]</f>
        <v>0.28571428571428564</v>
      </c>
      <c r="J20" s="36" t="str">
        <f>IF(Table2[[#This Row],[MARGIN]]&gt;25, "REVIEW", "OK")</f>
        <v>OK</v>
      </c>
    </row>
    <row r="21" spans="1:10" ht="15" x14ac:dyDescent="0.3">
      <c r="A21" s="4" t="s">
        <v>1113</v>
      </c>
      <c r="B21" s="3" t="s">
        <v>1114</v>
      </c>
      <c r="C21" s="3" t="s">
        <v>1434</v>
      </c>
      <c r="D21" s="4"/>
      <c r="E21" s="5"/>
      <c r="F21" s="4"/>
      <c r="G21" s="34">
        <v>19.190000000000001</v>
      </c>
      <c r="H21" s="34">
        <f t="shared" si="0"/>
        <v>27.825500000000002</v>
      </c>
      <c r="I21" s="41">
        <f>(Table2[[#This Row],[SALE PRICE]]-Table2[[#This Row],[COST PRICE]])/Table2[[#This Row],[SALE PRICE]]</f>
        <v>0.31034482758620691</v>
      </c>
      <c r="J21" s="37" t="str">
        <f>IF(Table2[[#This Row],[MARGIN]]&gt;25, "REVIEW", "OK")</f>
        <v>OK</v>
      </c>
    </row>
    <row r="22" spans="1:10" ht="15" x14ac:dyDescent="0.3">
      <c r="A22" s="6" t="s">
        <v>1115</v>
      </c>
      <c r="B22" s="14" t="s">
        <v>1861</v>
      </c>
      <c r="C22" s="14" t="s">
        <v>1426</v>
      </c>
      <c r="D22" s="6"/>
      <c r="E22" s="7"/>
      <c r="F22" s="6"/>
      <c r="G22" s="33">
        <v>20.99</v>
      </c>
      <c r="H22" s="33">
        <f t="shared" si="0"/>
        <v>30.435499999999998</v>
      </c>
      <c r="I22" s="40">
        <f>(Table2[[#This Row],[SALE PRICE]]-Table2[[#This Row],[COST PRICE]])/Table2[[#This Row],[SALE PRICE]]</f>
        <v>0.31034482758620691</v>
      </c>
      <c r="J22" s="36" t="str">
        <f>IF(Table2[[#This Row],[MARGIN]]&gt;25, "REVIEW", "OK")</f>
        <v>OK</v>
      </c>
    </row>
    <row r="23" spans="1:10" ht="15" x14ac:dyDescent="0.3">
      <c r="A23" s="4" t="s">
        <v>1116</v>
      </c>
      <c r="B23" s="3" t="s">
        <v>1117</v>
      </c>
      <c r="C23" s="3" t="s">
        <v>1426</v>
      </c>
      <c r="D23" s="4"/>
      <c r="E23" s="5"/>
      <c r="F23" s="4"/>
      <c r="G23" s="34">
        <v>12.47</v>
      </c>
      <c r="H23" s="34">
        <f t="shared" si="0"/>
        <v>18.081500000000002</v>
      </c>
      <c r="I23" s="41">
        <f>(Table2[[#This Row],[SALE PRICE]]-Table2[[#This Row],[COST PRICE]])/Table2[[#This Row],[SALE PRICE]]</f>
        <v>0.31034482758620691</v>
      </c>
      <c r="J23" s="37" t="str">
        <f>IF(Table2[[#This Row],[MARGIN]]&gt;25, "REVIEW", "OK")</f>
        <v>OK</v>
      </c>
    </row>
    <row r="24" spans="1:10" ht="15" x14ac:dyDescent="0.3">
      <c r="A24" s="6" t="s">
        <v>1118</v>
      </c>
      <c r="B24" s="14" t="s">
        <v>1862</v>
      </c>
      <c r="C24" s="14" t="s">
        <v>1426</v>
      </c>
      <c r="D24" s="6"/>
      <c r="E24" s="7"/>
      <c r="F24" s="6"/>
      <c r="G24" s="33">
        <v>14.39</v>
      </c>
      <c r="H24" s="33">
        <f t="shared" si="0"/>
        <v>20.865500000000001</v>
      </c>
      <c r="I24" s="40">
        <f>(Table2[[#This Row],[SALE PRICE]]-Table2[[#This Row],[COST PRICE]])/Table2[[#This Row],[SALE PRICE]]</f>
        <v>0.31034482758620691</v>
      </c>
      <c r="J24" s="36" t="str">
        <f>IF(Table2[[#This Row],[MARGIN]]&gt;25, "REVIEW", "OK")</f>
        <v>OK</v>
      </c>
    </row>
    <row r="25" spans="1:10" ht="15" x14ac:dyDescent="0.3">
      <c r="A25" s="4" t="s">
        <v>1119</v>
      </c>
      <c r="B25" s="3" t="s">
        <v>1863</v>
      </c>
      <c r="C25" s="3" t="s">
        <v>1426</v>
      </c>
      <c r="D25" s="4"/>
      <c r="E25" s="5"/>
      <c r="F25" s="4"/>
      <c r="G25" s="34">
        <v>4.3099999999999996</v>
      </c>
      <c r="H25" s="34">
        <f t="shared" si="0"/>
        <v>6.8959999999999999</v>
      </c>
      <c r="I25" s="41">
        <f>(Table2[[#This Row],[SALE PRICE]]-Table2[[#This Row],[COST PRICE]])/Table2[[#This Row],[SALE PRICE]]</f>
        <v>0.37500000000000006</v>
      </c>
      <c r="J25" s="37" t="str">
        <f>IF(Table2[[#This Row],[MARGIN]]&gt;25, "REVIEW", "OK")</f>
        <v>OK</v>
      </c>
    </row>
    <row r="26" spans="1:10" ht="15" x14ac:dyDescent="0.3">
      <c r="A26" s="6" t="s">
        <v>1120</v>
      </c>
      <c r="B26" s="14" t="s">
        <v>1864</v>
      </c>
      <c r="C26" s="14" t="s">
        <v>1426</v>
      </c>
      <c r="D26" s="6"/>
      <c r="E26" s="7"/>
      <c r="F26" s="6"/>
      <c r="G26" s="33">
        <v>8.39</v>
      </c>
      <c r="H26" s="33">
        <f t="shared" si="0"/>
        <v>13.004500000000002</v>
      </c>
      <c r="I26" s="40">
        <f>(Table2[[#This Row],[SALE PRICE]]-Table2[[#This Row],[COST PRICE]])/Table2[[#This Row],[SALE PRICE]]</f>
        <v>0.35483870967741943</v>
      </c>
      <c r="J26" s="36" t="str">
        <f>IF(Table2[[#This Row],[MARGIN]]&gt;25, "REVIEW", "OK")</f>
        <v>OK</v>
      </c>
    </row>
    <row r="27" spans="1:10" ht="15" x14ac:dyDescent="0.3">
      <c r="A27" s="4" t="s">
        <v>1121</v>
      </c>
      <c r="B27" s="3" t="s">
        <v>1122</v>
      </c>
      <c r="C27" s="3" t="s">
        <v>1865</v>
      </c>
      <c r="D27" s="4"/>
      <c r="E27" s="5"/>
      <c r="F27" s="4"/>
      <c r="G27" s="34">
        <v>26.75</v>
      </c>
      <c r="H27" s="34">
        <f t="shared" si="0"/>
        <v>37.449999999999996</v>
      </c>
      <c r="I27" s="41">
        <f>(Table2[[#This Row],[SALE PRICE]]-Table2[[#This Row],[COST PRICE]])/Table2[[#This Row],[SALE PRICE]]</f>
        <v>0.28571428571428564</v>
      </c>
      <c r="J27" s="37" t="str">
        <f>IF(Table2[[#This Row],[MARGIN]]&gt;25, "REVIEW", "OK")</f>
        <v>OK</v>
      </c>
    </row>
    <row r="28" spans="1:10" ht="15" x14ac:dyDescent="0.3">
      <c r="A28" s="6" t="s">
        <v>1123</v>
      </c>
      <c r="B28" s="14" t="s">
        <v>1866</v>
      </c>
      <c r="C28" s="14" t="s">
        <v>1426</v>
      </c>
      <c r="D28" s="6"/>
      <c r="E28" s="7"/>
      <c r="F28" s="6"/>
      <c r="G28" s="33">
        <v>11.27</v>
      </c>
      <c r="H28" s="33">
        <f t="shared" si="0"/>
        <v>16.3415</v>
      </c>
      <c r="I28" s="40">
        <f>(Table2[[#This Row],[SALE PRICE]]-Table2[[#This Row],[COST PRICE]])/Table2[[#This Row],[SALE PRICE]]</f>
        <v>0.31034482758620691</v>
      </c>
      <c r="J28" s="36" t="str">
        <f>IF(Table2[[#This Row],[MARGIN]]&gt;25, "REVIEW", "OK")</f>
        <v>OK</v>
      </c>
    </row>
    <row r="29" spans="1:10" ht="15" x14ac:dyDescent="0.3">
      <c r="A29" s="4" t="s">
        <v>1124</v>
      </c>
      <c r="B29" s="3" t="s">
        <v>1867</v>
      </c>
      <c r="C29" s="3" t="s">
        <v>1426</v>
      </c>
      <c r="D29" s="4"/>
      <c r="E29" s="5"/>
      <c r="F29" s="4"/>
      <c r="G29" s="34">
        <v>9.9499999999999993</v>
      </c>
      <c r="H29" s="34">
        <f t="shared" si="0"/>
        <v>15.422499999999999</v>
      </c>
      <c r="I29" s="41">
        <f>(Table2[[#This Row],[SALE PRICE]]-Table2[[#This Row],[COST PRICE]])/Table2[[#This Row],[SALE PRICE]]</f>
        <v>0.35483870967741937</v>
      </c>
      <c r="J29" s="37" t="str">
        <f>IF(Table2[[#This Row],[MARGIN]]&gt;25, "REVIEW", "OK")</f>
        <v>OK</v>
      </c>
    </row>
    <row r="30" spans="1:10" ht="15" x14ac:dyDescent="0.3">
      <c r="A30" s="6" t="s">
        <v>1125</v>
      </c>
      <c r="B30" s="14" t="s">
        <v>1868</v>
      </c>
      <c r="C30" s="14" t="s">
        <v>1430</v>
      </c>
      <c r="D30" s="6"/>
      <c r="E30" s="7"/>
      <c r="F30" s="6"/>
      <c r="G30" s="33">
        <v>2.99</v>
      </c>
      <c r="H30" s="33">
        <f t="shared" si="0"/>
        <v>4.7840000000000007</v>
      </c>
      <c r="I30" s="40">
        <f>(Table2[[#This Row],[SALE PRICE]]-Table2[[#This Row],[COST PRICE]])/Table2[[#This Row],[SALE PRICE]]</f>
        <v>0.37500000000000006</v>
      </c>
      <c r="J30" s="36" t="str">
        <f>IF(Table2[[#This Row],[MARGIN]]&gt;25, "REVIEW", "OK")</f>
        <v>OK</v>
      </c>
    </row>
    <row r="31" spans="1:10" ht="15" x14ac:dyDescent="0.3">
      <c r="A31" s="4" t="s">
        <v>1126</v>
      </c>
      <c r="B31" s="3" t="s">
        <v>1871</v>
      </c>
      <c r="C31" s="3" t="s">
        <v>1869</v>
      </c>
      <c r="D31" s="4"/>
      <c r="E31" s="5"/>
      <c r="F31" s="4"/>
      <c r="G31" s="34">
        <v>11.99</v>
      </c>
      <c r="H31" s="34">
        <f t="shared" si="0"/>
        <v>17.3855</v>
      </c>
      <c r="I31" s="41">
        <f>(Table2[[#This Row],[SALE PRICE]]-Table2[[#This Row],[COST PRICE]])/Table2[[#This Row],[SALE PRICE]]</f>
        <v>0.31034482758620691</v>
      </c>
      <c r="J31" s="37" t="str">
        <f>IF(Table2[[#This Row],[MARGIN]]&gt;25, "REVIEW", "OK")</f>
        <v>OK</v>
      </c>
    </row>
    <row r="32" spans="1:10" ht="30" x14ac:dyDescent="0.3">
      <c r="A32" s="6" t="s">
        <v>1127</v>
      </c>
      <c r="B32" s="14" t="s">
        <v>1870</v>
      </c>
      <c r="C32" s="14" t="s">
        <v>1869</v>
      </c>
      <c r="D32" s="6"/>
      <c r="E32" s="7"/>
      <c r="F32" s="6"/>
      <c r="G32" s="33">
        <v>15.59</v>
      </c>
      <c r="H32" s="33">
        <f t="shared" si="0"/>
        <v>22.605499999999999</v>
      </c>
      <c r="I32" s="40">
        <f>(Table2[[#This Row],[SALE PRICE]]-Table2[[#This Row],[COST PRICE]])/Table2[[#This Row],[SALE PRICE]]</f>
        <v>0.31034482758620691</v>
      </c>
      <c r="J32" s="36" t="str">
        <f>IF(Table2[[#This Row],[MARGIN]]&gt;25, "REVIEW", "OK")</f>
        <v>OK</v>
      </c>
    </row>
    <row r="33" spans="1:10" ht="15" x14ac:dyDescent="0.3">
      <c r="A33" s="4" t="s">
        <v>1128</v>
      </c>
      <c r="B33" s="3" t="s">
        <v>1129</v>
      </c>
      <c r="C33" s="3" t="s">
        <v>1869</v>
      </c>
      <c r="D33" s="4"/>
      <c r="E33" s="5"/>
      <c r="F33" s="4"/>
      <c r="G33" s="34">
        <v>11.75</v>
      </c>
      <c r="H33" s="34">
        <f t="shared" si="0"/>
        <v>17.037499999999998</v>
      </c>
      <c r="I33" s="41">
        <f>(Table2[[#This Row],[SALE PRICE]]-Table2[[#This Row],[COST PRICE]])/Table2[[#This Row],[SALE PRICE]]</f>
        <v>0.3103448275862068</v>
      </c>
      <c r="J33" s="37" t="str">
        <f>IF(Table2[[#This Row],[MARGIN]]&gt;25, "REVIEW", "OK")</f>
        <v>OK</v>
      </c>
    </row>
    <row r="34" spans="1:10" ht="15" x14ac:dyDescent="0.3">
      <c r="A34" s="6" t="s">
        <v>1130</v>
      </c>
      <c r="B34" s="14" t="s">
        <v>1131</v>
      </c>
      <c r="C34" s="14" t="s">
        <v>1426</v>
      </c>
      <c r="D34" s="6"/>
      <c r="E34" s="7"/>
      <c r="F34" s="6"/>
      <c r="G34" s="33">
        <v>17.989999999999998</v>
      </c>
      <c r="H34" s="33">
        <f t="shared" si="0"/>
        <v>26.085499999999996</v>
      </c>
      <c r="I34" s="40">
        <f>(Table2[[#This Row],[SALE PRICE]]-Table2[[#This Row],[COST PRICE]])/Table2[[#This Row],[SALE PRICE]]</f>
        <v>0.31034482758620685</v>
      </c>
      <c r="J34" s="36" t="str">
        <f>IF(Table2[[#This Row],[MARGIN]]&gt;25, "REVIEW", "OK")</f>
        <v>OK</v>
      </c>
    </row>
    <row r="35" spans="1:10" ht="15" x14ac:dyDescent="0.3">
      <c r="A35" s="4" t="s">
        <v>1132</v>
      </c>
      <c r="B35" s="3" t="s">
        <v>1133</v>
      </c>
      <c r="C35" s="3" t="s">
        <v>1426</v>
      </c>
      <c r="D35" s="4"/>
      <c r="E35" s="5"/>
      <c r="F35" s="4"/>
      <c r="G35" s="34">
        <v>17.989999999999998</v>
      </c>
      <c r="H35" s="34">
        <f t="shared" si="0"/>
        <v>26.085499999999996</v>
      </c>
      <c r="I35" s="41">
        <f>(Table2[[#This Row],[SALE PRICE]]-Table2[[#This Row],[COST PRICE]])/Table2[[#This Row],[SALE PRICE]]</f>
        <v>0.31034482758620685</v>
      </c>
      <c r="J35" s="37" t="str">
        <f>IF(Table2[[#This Row],[MARGIN]]&gt;25, "REVIEW", "OK")</f>
        <v>OK</v>
      </c>
    </row>
    <row r="36" spans="1:10" ht="15" x14ac:dyDescent="0.3">
      <c r="A36" s="6" t="s">
        <v>1134</v>
      </c>
      <c r="B36" s="14" t="s">
        <v>1135</v>
      </c>
      <c r="C36" s="14" t="s">
        <v>1426</v>
      </c>
      <c r="D36" s="6"/>
      <c r="E36" s="7"/>
      <c r="F36" s="6"/>
      <c r="G36" s="33">
        <v>17.989999999999998</v>
      </c>
      <c r="H36" s="33">
        <f t="shared" si="0"/>
        <v>26.085499999999996</v>
      </c>
      <c r="I36" s="40">
        <f>(Table2[[#This Row],[SALE PRICE]]-Table2[[#This Row],[COST PRICE]])/Table2[[#This Row],[SALE PRICE]]</f>
        <v>0.31034482758620685</v>
      </c>
      <c r="J36" s="36" t="str">
        <f>IF(Table2[[#This Row],[MARGIN]]&gt;25, "REVIEW", "OK")</f>
        <v>OK</v>
      </c>
    </row>
    <row r="37" spans="1:10" ht="15" x14ac:dyDescent="0.3">
      <c r="A37" s="4" t="s">
        <v>1136</v>
      </c>
      <c r="B37" s="3" t="s">
        <v>1872</v>
      </c>
      <c r="C37" s="3" t="s">
        <v>1426</v>
      </c>
      <c r="D37" s="4"/>
      <c r="E37" s="5"/>
      <c r="F37" s="4"/>
      <c r="G37" s="34">
        <v>47.99</v>
      </c>
      <c r="H37" s="34">
        <f t="shared" si="0"/>
        <v>67.185999999999993</v>
      </c>
      <c r="I37" s="41">
        <f>(Table2[[#This Row],[SALE PRICE]]-Table2[[#This Row],[COST PRICE]])/Table2[[#This Row],[SALE PRICE]]</f>
        <v>0.28571428571428559</v>
      </c>
      <c r="J37" s="37" t="str">
        <f>IF(Table2[[#This Row],[MARGIN]]&gt;25, "REVIEW", "OK")</f>
        <v>OK</v>
      </c>
    </row>
    <row r="38" spans="1:10" ht="15" x14ac:dyDescent="0.3">
      <c r="A38" s="6" t="s">
        <v>1137</v>
      </c>
      <c r="B38" s="14" t="s">
        <v>1873</v>
      </c>
      <c r="C38" s="14" t="s">
        <v>1426</v>
      </c>
      <c r="D38" s="6"/>
      <c r="E38" s="7"/>
      <c r="F38" s="6"/>
      <c r="G38" s="33">
        <v>37.19</v>
      </c>
      <c r="H38" s="33">
        <f t="shared" si="0"/>
        <v>52.065999999999995</v>
      </c>
      <c r="I38" s="40">
        <f>(Table2[[#This Row],[SALE PRICE]]-Table2[[#This Row],[COST PRICE]])/Table2[[#This Row],[SALE PRICE]]</f>
        <v>0.2857142857142857</v>
      </c>
      <c r="J38" s="36" t="str">
        <f>IF(Table2[[#This Row],[MARGIN]]&gt;25, "REVIEW", "OK")</f>
        <v>OK</v>
      </c>
    </row>
    <row r="39" spans="1:10" ht="15" x14ac:dyDescent="0.3">
      <c r="A39" s="4" t="s">
        <v>1138</v>
      </c>
      <c r="B39" s="3" t="s">
        <v>1874</v>
      </c>
      <c r="C39" s="3" t="s">
        <v>1426</v>
      </c>
      <c r="D39" s="4"/>
      <c r="E39" s="5"/>
      <c r="F39" s="4"/>
      <c r="G39" s="34">
        <v>29.99</v>
      </c>
      <c r="H39" s="34">
        <f t="shared" si="0"/>
        <v>41.985999999999997</v>
      </c>
      <c r="I39" s="41">
        <f>(Table2[[#This Row],[SALE PRICE]]-Table2[[#This Row],[COST PRICE]])/Table2[[#This Row],[SALE PRICE]]</f>
        <v>0.2857142857142857</v>
      </c>
      <c r="J39" s="37" t="str">
        <f>IF(Table2[[#This Row],[MARGIN]]&gt;25, "REVIEW", "OK")</f>
        <v>OK</v>
      </c>
    </row>
    <row r="40" spans="1:10" ht="15" x14ac:dyDescent="0.3">
      <c r="A40" s="6" t="s">
        <v>1139</v>
      </c>
      <c r="B40" s="14" t="s">
        <v>1875</v>
      </c>
      <c r="C40" s="14" t="s">
        <v>1426</v>
      </c>
      <c r="D40" s="6"/>
      <c r="E40" s="7"/>
      <c r="F40" s="6"/>
      <c r="G40" s="33">
        <v>9.5399999999999991</v>
      </c>
      <c r="H40" s="33">
        <f t="shared" si="0"/>
        <v>14.786999999999999</v>
      </c>
      <c r="I40" s="40">
        <f>(Table2[[#This Row],[SALE PRICE]]-Table2[[#This Row],[COST PRICE]])/Table2[[#This Row],[SALE PRICE]]</f>
        <v>0.35483870967741937</v>
      </c>
      <c r="J40" s="36" t="str">
        <f>IF(Table2[[#This Row],[MARGIN]]&gt;25, "REVIEW", "OK")</f>
        <v>OK</v>
      </c>
    </row>
    <row r="41" spans="1:10" ht="15" x14ac:dyDescent="0.3">
      <c r="A41" s="4" t="s">
        <v>1140</v>
      </c>
      <c r="B41" s="3" t="s">
        <v>1141</v>
      </c>
      <c r="C41" s="3" t="s">
        <v>1426</v>
      </c>
      <c r="D41" s="4"/>
      <c r="E41" s="5"/>
      <c r="F41" s="4"/>
      <c r="G41" s="34">
        <v>7.19</v>
      </c>
      <c r="H41" s="34">
        <f t="shared" si="0"/>
        <v>11.144500000000001</v>
      </c>
      <c r="I41" s="41">
        <f>(Table2[[#This Row],[SALE PRICE]]-Table2[[#This Row],[COST PRICE]])/Table2[[#This Row],[SALE PRICE]]</f>
        <v>0.35483870967741937</v>
      </c>
      <c r="J41" s="37" t="str">
        <f>IF(Table2[[#This Row],[MARGIN]]&gt;25, "REVIEW", "OK")</f>
        <v>OK</v>
      </c>
    </row>
    <row r="42" spans="1:10" ht="15" x14ac:dyDescent="0.3">
      <c r="A42" s="6" t="s">
        <v>1142</v>
      </c>
      <c r="B42" s="14" t="s">
        <v>1876</v>
      </c>
      <c r="C42" s="14" t="s">
        <v>1426</v>
      </c>
      <c r="D42" s="6"/>
      <c r="E42" s="7"/>
      <c r="F42" s="6"/>
      <c r="G42" s="33">
        <v>5.58</v>
      </c>
      <c r="H42" s="33">
        <f t="shared" si="0"/>
        <v>8.6490000000000009</v>
      </c>
      <c r="I42" s="40">
        <f>(Table2[[#This Row],[SALE PRICE]]-Table2[[#This Row],[COST PRICE]])/Table2[[#This Row],[SALE PRICE]]</f>
        <v>0.35483870967741943</v>
      </c>
      <c r="J42" s="36" t="str">
        <f>IF(Table2[[#This Row],[MARGIN]]&gt;25, "REVIEW", "OK")</f>
        <v>OK</v>
      </c>
    </row>
    <row r="43" spans="1:10" ht="15" x14ac:dyDescent="0.3">
      <c r="A43" s="4" t="s">
        <v>1143</v>
      </c>
      <c r="B43" s="3" t="s">
        <v>1877</v>
      </c>
      <c r="C43" s="3" t="s">
        <v>1430</v>
      </c>
      <c r="D43" s="4"/>
      <c r="E43" s="5"/>
      <c r="F43" s="4"/>
      <c r="G43" s="34">
        <v>2</v>
      </c>
      <c r="H43" s="34">
        <f t="shared" si="0"/>
        <v>3.2</v>
      </c>
      <c r="I43" s="41">
        <f>(Table2[[#This Row],[SALE PRICE]]-Table2[[#This Row],[COST PRICE]])/Table2[[#This Row],[SALE PRICE]]</f>
        <v>0.37500000000000006</v>
      </c>
      <c r="J43" s="37" t="str">
        <f>IF(Table2[[#This Row],[MARGIN]]&gt;25, "REVIEW", "OK")</f>
        <v>OK</v>
      </c>
    </row>
    <row r="44" spans="1:10" ht="15" x14ac:dyDescent="0.3">
      <c r="A44" s="6" t="s">
        <v>1144</v>
      </c>
      <c r="B44" s="14" t="s">
        <v>1878</v>
      </c>
      <c r="C44" s="14" t="s">
        <v>1426</v>
      </c>
      <c r="D44" s="6"/>
      <c r="E44" s="7"/>
      <c r="F44" s="6"/>
      <c r="G44" s="33">
        <v>13.19</v>
      </c>
      <c r="H44" s="33">
        <f t="shared" si="0"/>
        <v>19.125499999999999</v>
      </c>
      <c r="I44" s="40">
        <f>(Table2[[#This Row],[SALE PRICE]]-Table2[[#This Row],[COST PRICE]])/Table2[[#This Row],[SALE PRICE]]</f>
        <v>0.31034482758620691</v>
      </c>
      <c r="J44" s="36" t="str">
        <f>IF(Table2[[#This Row],[MARGIN]]&gt;25, "REVIEW", "OK")</f>
        <v>OK</v>
      </c>
    </row>
    <row r="45" spans="1:10" ht="15" x14ac:dyDescent="0.3">
      <c r="A45" s="4" t="s">
        <v>1145</v>
      </c>
      <c r="B45" s="3" t="s">
        <v>1146</v>
      </c>
      <c r="C45" s="3" t="s">
        <v>1426</v>
      </c>
      <c r="D45" s="4"/>
      <c r="E45" s="5"/>
      <c r="F45" s="4"/>
      <c r="G45" s="34">
        <v>6.3</v>
      </c>
      <c r="H45" s="34">
        <f t="shared" si="0"/>
        <v>9.7650000000000006</v>
      </c>
      <c r="I45" s="41">
        <f>(Table2[[#This Row],[SALE PRICE]]-Table2[[#This Row],[COST PRICE]])/Table2[[#This Row],[SALE PRICE]]</f>
        <v>0.35483870967741943</v>
      </c>
      <c r="J45" s="37" t="str">
        <f>IF(Table2[[#This Row],[MARGIN]]&gt;25, "REVIEW", "OK")</f>
        <v>OK</v>
      </c>
    </row>
    <row r="46" spans="1:10" ht="15" x14ac:dyDescent="0.3">
      <c r="A46" s="6" t="s">
        <v>1147</v>
      </c>
      <c r="B46" s="14" t="s">
        <v>1879</v>
      </c>
      <c r="C46" s="14" t="s">
        <v>1426</v>
      </c>
      <c r="D46" s="6"/>
      <c r="E46" s="7"/>
      <c r="F46" s="6"/>
      <c r="G46" s="33">
        <v>3.78</v>
      </c>
      <c r="H46" s="33">
        <f t="shared" si="0"/>
        <v>6.048</v>
      </c>
      <c r="I46" s="40">
        <f>(Table2[[#This Row],[SALE PRICE]]-Table2[[#This Row],[COST PRICE]])/Table2[[#This Row],[SALE PRICE]]</f>
        <v>0.37500000000000006</v>
      </c>
      <c r="J46" s="36" t="str">
        <f>IF(Table2[[#This Row],[MARGIN]]&gt;25, "REVIEW", "OK")</f>
        <v>OK</v>
      </c>
    </row>
    <row r="47" spans="1:10" ht="15" x14ac:dyDescent="0.3">
      <c r="A47" s="4" t="s">
        <v>1148</v>
      </c>
      <c r="B47" s="3" t="s">
        <v>1880</v>
      </c>
      <c r="C47" s="3" t="s">
        <v>1430</v>
      </c>
      <c r="D47" s="4"/>
      <c r="E47" s="5"/>
      <c r="F47" s="4"/>
      <c r="G47" s="34">
        <v>10.38</v>
      </c>
      <c r="H47" s="34">
        <f t="shared" si="0"/>
        <v>15.051</v>
      </c>
      <c r="I47" s="41">
        <f>(Table2[[#This Row],[SALE PRICE]]-Table2[[#This Row],[COST PRICE]])/Table2[[#This Row],[SALE PRICE]]</f>
        <v>0.31034482758620685</v>
      </c>
      <c r="J47" s="37" t="str">
        <f>IF(Table2[[#This Row],[MARGIN]]&gt;25, "REVIEW", "OK")</f>
        <v>OK</v>
      </c>
    </row>
    <row r="48" spans="1:10" ht="15" x14ac:dyDescent="0.3">
      <c r="A48" s="30" t="s">
        <v>1149</v>
      </c>
      <c r="B48" s="31" t="s">
        <v>1881</v>
      </c>
      <c r="C48" s="31" t="s">
        <v>1426</v>
      </c>
      <c r="D48" s="30"/>
      <c r="E48" s="32"/>
      <c r="F48" s="30"/>
      <c r="G48" s="35">
        <v>11.99</v>
      </c>
      <c r="H48" s="35">
        <f t="shared" si="0"/>
        <v>17.3855</v>
      </c>
      <c r="I48" s="42">
        <f>(Table2[[#This Row],[SALE PRICE]]-Table2[[#This Row],[COST PRICE]])/Table2[[#This Row],[SALE PRICE]]</f>
        <v>0.31034482758620691</v>
      </c>
      <c r="J48" s="38" t="str">
        <f>IF(Table2[[#This Row],[MARGIN]]&gt;25, "REVIEW", "OK")</f>
        <v>OK</v>
      </c>
    </row>
  </sheetData>
  <phoneticPr fontId="4" type="noConversion"/>
  <pageMargins left="0.7" right="0.7" top="0.75" bottom="0.75" header="0.3" footer="0.3"/>
  <pageSetup orientation="portrait" useFirstPageNumber="1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DRY STORE</vt:lpstr>
      <vt:lpstr>HYGIENE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2026-06-06T23:42:46Z</dcterms:created>
  <dcterms:modified xsi:type="dcterms:W3CDTF">2026-10-06T23:32:53Z</dcterms:modified>
  <cp:category/>
</cp:coreProperties>
</file>